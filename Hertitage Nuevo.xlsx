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hSuites\Desktop\"/>
    </mc:Choice>
  </mc:AlternateContent>
  <xr:revisionPtr revIDLastSave="0" documentId="13_ncr:1_{921F5D0A-8D4A-4449-8085-5750F5E7AA45}" xr6:coauthVersionLast="47" xr6:coauthVersionMax="47" xr10:uidLastSave="{00000000-0000-0000-0000-000000000000}"/>
  <bookViews>
    <workbookView xWindow="-120" yWindow="-120" windowWidth="20730" windowHeight="11040" tabRatio="674" xr2:uid="{00000000-000D-0000-FFFF-FFFF00000000}"/>
  </bookViews>
  <sheets>
    <sheet name="HERITAGE " sheetId="5" r:id="rId1"/>
    <sheet name="Hoja1" sheetId="9" r:id="rId2"/>
    <sheet name="Hoja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9" i="5" l="1"/>
  <c r="O59" i="5" s="1"/>
  <c r="P59" i="5" s="1"/>
  <c r="O54" i="5"/>
  <c r="P54" i="5" s="1"/>
  <c r="M54" i="5"/>
  <c r="N54" i="5" s="1"/>
  <c r="O50" i="5"/>
  <c r="P50" i="5" s="1"/>
  <c r="M50" i="5"/>
  <c r="N50" i="5" s="1"/>
  <c r="O45" i="5"/>
  <c r="P45" i="5" s="1"/>
  <c r="M45" i="5"/>
  <c r="N45" i="5" s="1"/>
  <c r="M44" i="5"/>
  <c r="N44" i="5" s="1"/>
  <c r="O43" i="5"/>
  <c r="P43" i="5" s="1"/>
  <c r="M43" i="5"/>
  <c r="N43" i="5" s="1"/>
  <c r="M42" i="5"/>
  <c r="O42" i="5" s="1"/>
  <c r="O32" i="5"/>
  <c r="P32" i="5" s="1"/>
  <c r="M32" i="5"/>
  <c r="O25" i="5"/>
  <c r="O27" i="5" s="1"/>
  <c r="M25" i="5"/>
  <c r="M27" i="5" s="1"/>
  <c r="H59" i="5"/>
  <c r="J59" i="5" s="1"/>
  <c r="K59" i="5" s="1"/>
  <c r="H58" i="5"/>
  <c r="I58" i="5" s="1"/>
  <c r="H54" i="5"/>
  <c r="H50" i="5"/>
  <c r="J50" i="5" s="1"/>
  <c r="J42" i="5"/>
  <c r="H44" i="5"/>
  <c r="J44" i="5" s="1"/>
  <c r="K44" i="5" s="1"/>
  <c r="C44" i="5"/>
  <c r="H43" i="5"/>
  <c r="J43" i="5" s="1"/>
  <c r="K43" i="5" s="1"/>
  <c r="C42" i="5"/>
  <c r="H42" i="5"/>
  <c r="H32" i="5"/>
  <c r="H25" i="5"/>
  <c r="H27" i="5"/>
  <c r="H55" i="5" s="1"/>
  <c r="I59" i="5"/>
  <c r="I57" i="5"/>
  <c r="J54" i="5"/>
  <c r="K54" i="5" s="1"/>
  <c r="H45" i="5"/>
  <c r="J45" i="5" s="1"/>
  <c r="K45" i="5" s="1"/>
  <c r="J32" i="5"/>
  <c r="K32" i="5" s="1"/>
  <c r="J25" i="5"/>
  <c r="K25" i="5" s="1"/>
  <c r="K27" i="5" s="1"/>
  <c r="F59" i="5"/>
  <c r="E59" i="5"/>
  <c r="E58" i="5"/>
  <c r="F58" i="5" s="1"/>
  <c r="E32" i="5"/>
  <c r="F32" i="5" s="1"/>
  <c r="E25" i="5"/>
  <c r="F25" i="5" s="1"/>
  <c r="F27" i="5" s="1"/>
  <c r="E27" i="5"/>
  <c r="E33" i="5" s="1"/>
  <c r="F33" i="5" s="1"/>
  <c r="B85" i="5"/>
  <c r="D84" i="5"/>
  <c r="D83" i="5"/>
  <c r="D82" i="5"/>
  <c r="D81" i="5"/>
  <c r="D80" i="5"/>
  <c r="D79" i="5"/>
  <c r="D78" i="5"/>
  <c r="D77" i="5"/>
  <c r="F101" i="5"/>
  <c r="E82" i="5" s="1"/>
  <c r="D57" i="5"/>
  <c r="D58" i="5"/>
  <c r="D59" i="5"/>
  <c r="C25" i="5"/>
  <c r="D25" i="5" s="1"/>
  <c r="M31" i="5" l="1"/>
  <c r="M34" i="5"/>
  <c r="M55" i="5"/>
  <c r="N55" i="5" s="1"/>
  <c r="M53" i="5"/>
  <c r="M33" i="5"/>
  <c r="N33" i="5" s="1"/>
  <c r="P42" i="5"/>
  <c r="P47" i="5" s="1"/>
  <c r="M47" i="5"/>
  <c r="N42" i="5"/>
  <c r="N47" i="5" s="1"/>
  <c r="N59" i="5"/>
  <c r="H33" i="5"/>
  <c r="O44" i="5"/>
  <c r="P44" i="5" s="1"/>
  <c r="H34" i="5"/>
  <c r="H35" i="5" s="1"/>
  <c r="N25" i="5"/>
  <c r="N27" i="5" s="1"/>
  <c r="M58" i="5"/>
  <c r="J58" i="5"/>
  <c r="K58" i="5" s="1"/>
  <c r="O34" i="5"/>
  <c r="O31" i="5"/>
  <c r="O55" i="5"/>
  <c r="O33" i="5"/>
  <c r="P33" i="5" s="1"/>
  <c r="P25" i="5"/>
  <c r="P27" i="5" s="1"/>
  <c r="E55" i="5"/>
  <c r="F55" i="5" s="1"/>
  <c r="H31" i="5"/>
  <c r="J27" i="5"/>
  <c r="K42" i="5"/>
  <c r="K47" i="5" s="1"/>
  <c r="J47" i="5"/>
  <c r="I55" i="5"/>
  <c r="H53" i="5"/>
  <c r="I33" i="5"/>
  <c r="K50" i="5"/>
  <c r="H47" i="5"/>
  <c r="I42" i="5"/>
  <c r="I44" i="5"/>
  <c r="I25" i="5"/>
  <c r="I27" i="5" s="1"/>
  <c r="I43" i="5"/>
  <c r="I45" i="5"/>
  <c r="I50" i="5"/>
  <c r="I54" i="5"/>
  <c r="E34" i="5"/>
  <c r="E31" i="5"/>
  <c r="D27" i="5"/>
  <c r="E80" i="5"/>
  <c r="F80" i="5" s="1"/>
  <c r="D85" i="5"/>
  <c r="F82" i="5"/>
  <c r="E83" i="5"/>
  <c r="F83" i="5" s="1"/>
  <c r="E79" i="5"/>
  <c r="F79" i="5" s="1"/>
  <c r="E77" i="5"/>
  <c r="F77" i="5" s="1"/>
  <c r="E81" i="5"/>
  <c r="F81" i="5" s="1"/>
  <c r="E84" i="5"/>
  <c r="F84" i="5" s="1"/>
  <c r="E78" i="5"/>
  <c r="F78" i="5" s="1"/>
  <c r="C50" i="5"/>
  <c r="C52" i="5"/>
  <c r="O53" i="5" l="1"/>
  <c r="P53" i="5" s="1"/>
  <c r="N53" i="5"/>
  <c r="N58" i="5"/>
  <c r="O58" i="5"/>
  <c r="P58" i="5" s="1"/>
  <c r="M35" i="5"/>
  <c r="N35" i="5" s="1"/>
  <c r="N34" i="5"/>
  <c r="O47" i="5"/>
  <c r="N31" i="5"/>
  <c r="N37" i="5" s="1"/>
  <c r="M37" i="5"/>
  <c r="P55" i="5"/>
  <c r="P31" i="5"/>
  <c r="P34" i="5"/>
  <c r="O35" i="5"/>
  <c r="P35" i="5" s="1"/>
  <c r="J34" i="5"/>
  <c r="J35" i="5" s="1"/>
  <c r="J33" i="5"/>
  <c r="K33" i="5" s="1"/>
  <c r="J31" i="5"/>
  <c r="K31" i="5" s="1"/>
  <c r="D52" i="5"/>
  <c r="H52" i="5"/>
  <c r="M52" i="5" s="1"/>
  <c r="E52" i="5"/>
  <c r="F52" i="5" s="1"/>
  <c r="D50" i="5"/>
  <c r="E50" i="5"/>
  <c r="J55" i="5"/>
  <c r="K55" i="5" s="1"/>
  <c r="F31" i="5"/>
  <c r="E35" i="5"/>
  <c r="F35" i="5" s="1"/>
  <c r="F34" i="5"/>
  <c r="I47" i="5"/>
  <c r="J53" i="5"/>
  <c r="I53" i="5"/>
  <c r="I31" i="5"/>
  <c r="I34" i="5"/>
  <c r="I35" i="5"/>
  <c r="F85" i="5"/>
  <c r="C51" i="5"/>
  <c r="N52" i="5" l="1"/>
  <c r="O52" i="5"/>
  <c r="P52" i="5" s="1"/>
  <c r="O37" i="5"/>
  <c r="P37" i="5"/>
  <c r="D51" i="5"/>
  <c r="H51" i="5"/>
  <c r="M51" i="5" s="1"/>
  <c r="E51" i="5"/>
  <c r="F51" i="5" s="1"/>
  <c r="K35" i="5"/>
  <c r="K34" i="5"/>
  <c r="K37" i="5" s="1"/>
  <c r="F50" i="5"/>
  <c r="J52" i="5"/>
  <c r="K52" i="5" s="1"/>
  <c r="I52" i="5"/>
  <c r="F37" i="5"/>
  <c r="J37" i="5"/>
  <c r="E37" i="5"/>
  <c r="H37" i="5"/>
  <c r="I37" i="5"/>
  <c r="K53" i="5"/>
  <c r="C43" i="5"/>
  <c r="C32" i="5"/>
  <c r="O51" i="5" l="1"/>
  <c r="N51" i="5"/>
  <c r="N56" i="5" s="1"/>
  <c r="M56" i="5"/>
  <c r="J51" i="5"/>
  <c r="I51" i="5"/>
  <c r="I56" i="5" s="1"/>
  <c r="H56" i="5"/>
  <c r="D42" i="5"/>
  <c r="E42" i="5"/>
  <c r="F42" i="5" s="1"/>
  <c r="D43" i="5"/>
  <c r="E43" i="5"/>
  <c r="F43" i="5" s="1"/>
  <c r="D44" i="5"/>
  <c r="E44" i="5"/>
  <c r="F44" i="5" s="1"/>
  <c r="C27" i="5"/>
  <c r="P51" i="5" l="1"/>
  <c r="P56" i="5" s="1"/>
  <c r="O56" i="5"/>
  <c r="C55" i="5"/>
  <c r="D55" i="5" s="1"/>
  <c r="C53" i="5"/>
  <c r="E53" i="5" s="1"/>
  <c r="K51" i="5"/>
  <c r="K56" i="5" s="1"/>
  <c r="J56" i="5"/>
  <c r="C34" i="5"/>
  <c r="C31" i="5"/>
  <c r="D31" i="5" s="1"/>
  <c r="C33" i="5"/>
  <c r="D33" i="5" s="1"/>
  <c r="B12" i="5"/>
  <c r="B8" i="5"/>
  <c r="B100" i="5"/>
  <c r="C54" i="5"/>
  <c r="C45" i="5"/>
  <c r="E45" i="5" s="1"/>
  <c r="F53" i="5" l="1"/>
  <c r="E47" i="5"/>
  <c r="F45" i="5"/>
  <c r="F47" i="5" s="1"/>
  <c r="D54" i="5"/>
  <c r="E54" i="5"/>
  <c r="F54" i="5" s="1"/>
  <c r="D53" i="5"/>
  <c r="C60" i="5"/>
  <c r="C47" i="5"/>
  <c r="D45" i="5"/>
  <c r="D47" i="5" s="1"/>
  <c r="C35" i="5"/>
  <c r="D35" i="5" s="1"/>
  <c r="D34" i="5"/>
  <c r="C56" i="5"/>
  <c r="D56" i="5" l="1"/>
  <c r="H60" i="5"/>
  <c r="M60" i="5" s="1"/>
  <c r="E60" i="5"/>
  <c r="F60" i="5" s="1"/>
  <c r="E56" i="5"/>
  <c r="F56" i="5"/>
  <c r="C37" i="5"/>
  <c r="C62" i="5" s="1"/>
  <c r="C65" i="5" s="1"/>
  <c r="D60" i="5"/>
  <c r="D37" i="5"/>
  <c r="N60" i="5" l="1"/>
  <c r="N62" i="5" s="1"/>
  <c r="O60" i="5"/>
  <c r="M62" i="5"/>
  <c r="F62" i="5"/>
  <c r="E62" i="5"/>
  <c r="E65" i="5" s="1"/>
  <c r="F65" i="5"/>
  <c r="D62" i="5"/>
  <c r="D65" i="5" s="1"/>
  <c r="I60" i="5"/>
  <c r="I62" i="5" s="1"/>
  <c r="J60" i="5"/>
  <c r="H62" i="5"/>
  <c r="F66" i="5" l="1"/>
  <c r="E66" i="5"/>
  <c r="P60" i="5"/>
  <c r="P62" i="5" s="1"/>
  <c r="P65" i="5" s="1"/>
  <c r="P66" i="5" s="1"/>
  <c r="O62" i="5"/>
  <c r="O65" i="5" s="1"/>
  <c r="O66" i="5" s="1"/>
  <c r="N65" i="5"/>
  <c r="N66" i="5" s="1"/>
  <c r="M65" i="5"/>
  <c r="M66" i="5" s="1"/>
  <c r="H65" i="5"/>
  <c r="H66" i="5" s="1"/>
  <c r="K60" i="5"/>
  <c r="K62" i="5" s="1"/>
  <c r="J62" i="5"/>
  <c r="I65" i="5"/>
  <c r="I66" i="5" s="1"/>
  <c r="D66" i="5"/>
  <c r="C66" i="5"/>
  <c r="K65" i="5" l="1"/>
  <c r="K66" i="5" s="1"/>
  <c r="J65" i="5"/>
  <c r="J6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GehSuites</author>
  </authors>
  <commentList>
    <comment ref="A41" authorId="0" shapeId="0" xr:uid="{9E34008D-D9C5-4010-8319-969D0689DC97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Cada propietario asume los servicios publicos , nosotros tendremos una plataforma organizada para que las personas puedan realizar los pagos de los servicios </t>
        </r>
      </text>
    </comment>
    <comment ref="A49" authorId="0" shapeId="0" xr:uid="{6A4E8142-5165-49DA-B40D-87613D58926B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Cada propietario asume los servicios publicos , nosotros tendremos una plataforma organizada para que las personas puedan realizar los pagos de los servicios </t>
        </r>
      </text>
    </comment>
    <comment ref="A71" authorId="0" shapeId="0" xr:uid="{48BE7FB7-AFF7-471A-9937-F341EA49D6B7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La gestión de revenue management / tarifas / distribución / OTAs / central de reservas la asume Smart Stay con su honorario. No se carga a la nómina del pool. Salario mostrado como referencia del valor aportado.</t>
        </r>
      </text>
    </comment>
    <comment ref="A89" authorId="0" shapeId="0" xr:uid="{35F9112F-5DAD-497F-B86F-57E0CE53A009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Montos estimados (azul) — ajustar con valores reales. Se totalizan y alimentan la línea 'OTROS GASTOS OPERATIVOS' del P&amp;G.</t>
        </r>
      </text>
    </comment>
    <comment ref="F101" authorId="0" shapeId="0" xr:uid="{424380C6-C428-4DAF-AB32-158A415D05DF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Fuente: Tarifas de seguridad social y parafiscales vigentes 2026 (Decreto 1469/2025, Art. 114-1 E.T., Código Sustantivo del Trabajo). Empresa NO exonerada de Salud/ICBF/SENA según confirmación del usuario. ARL usa tarifa mínima (Riesgo I) - ajustar si hay cargos de mayor riesgo (mantenimiento, salvavidas, etc.).</t>
        </r>
      </text>
    </comment>
  </commentList>
</comments>
</file>

<file path=xl/sharedStrings.xml><?xml version="1.0" encoding="utf-8"?>
<sst xmlns="http://schemas.openxmlformats.org/spreadsheetml/2006/main" count="130" uniqueCount="124">
  <si>
    <t>CONDO RESORT HERITAGE</t>
  </si>
  <si>
    <t>PROYECTO OPERADOR ÚnICO</t>
  </si>
  <si>
    <t>Proyección P&amp;G Anual — 3 Años / 3 Escenarios (COP)</t>
  </si>
  <si>
    <t>Crecimiento tarifa anual (ADR)</t>
  </si>
  <si>
    <t>Inflación costos fijos</t>
  </si>
  <si>
    <t>PESIMISTA</t>
  </si>
  <si>
    <t>Año 1</t>
  </si>
  <si>
    <t>INGRESOS PROYECTADOS</t>
  </si>
  <si>
    <t>TOTAL INGRESOS</t>
  </si>
  <si>
    <t>Energía</t>
  </si>
  <si>
    <t>Agua</t>
  </si>
  <si>
    <t>Gas</t>
  </si>
  <si>
    <t>Internet / Cable / Telefonía</t>
  </si>
  <si>
    <t>Papelería</t>
  </si>
  <si>
    <t>Aseo</t>
  </si>
  <si>
    <t>Lavandería</t>
  </si>
  <si>
    <t>UTILIDAD BRUTA / EBITDA</t>
  </si>
  <si>
    <t>ANEXO 1 — DETALLE DE NÓMINA (costo mensual)</t>
  </si>
  <si>
    <t>Cargo</t>
  </si>
  <si>
    <t>Cantidad</t>
  </si>
  <si>
    <t>Salario mensual</t>
  </si>
  <si>
    <t>Gerente General</t>
  </si>
  <si>
    <t>Auditor Nocturno</t>
  </si>
  <si>
    <t>Camareras</t>
  </si>
  <si>
    <t>Mantenimiento</t>
  </si>
  <si>
    <t>TOTAL NÓMINA MENSUAL</t>
  </si>
  <si>
    <t>Margen EBITDA (%)</t>
  </si>
  <si>
    <t>UTILIDAD NETA</t>
  </si>
  <si>
    <t>Concierge</t>
  </si>
  <si>
    <t>Revenue Manager (incluido en fee Smart Stay)</t>
  </si>
  <si>
    <t xml:space="preserve">1-termina el esquema según el tipo de unidad  72 de 1 una habitacion y 36 de 2 habitaciones </t>
  </si>
  <si>
    <t xml:space="preserve">2-el fara lo lleves a un ahorro virtual con rendimiento a una tasa del 9% y que este a la vez según lo esperado vaya proyectando en rendimiento </t>
  </si>
  <si>
    <t xml:space="preserve">3- de acuerdo a tu experiencia en experto financiero aprovecha tus conocimientos en herramientas de bisnes inteligent y realiza la modelacion de los graficos para interpretar los datos del excel de la mejor forma </t>
  </si>
  <si>
    <t>4- firma de contadores y revisoria fiscal me puedes modelar  y cuantas personas se pueden estar neceitando para un modelo como heritage</t>
  </si>
  <si>
    <t xml:space="preserve">5- Persona de calidad y seguridad salu en el trabajo </t>
  </si>
  <si>
    <t>BASE MENSUAL</t>
  </si>
  <si>
    <t>Concepto</t>
  </si>
  <si>
    <t xml:space="preserve">Gastos de flores y decoracion </t>
  </si>
  <si>
    <t>servicios de minibar</t>
  </si>
  <si>
    <t>gastos medicos</t>
  </si>
  <si>
    <t>bonificaciones</t>
  </si>
  <si>
    <t xml:space="preserve">sericios de ambulancia </t>
  </si>
  <si>
    <t xml:space="preserve">alimentacion de empleados </t>
  </si>
  <si>
    <t xml:space="preserve">licencias </t>
  </si>
  <si>
    <t>autocord</t>
  </si>
  <si>
    <t xml:space="preserve">agremiacion </t>
  </si>
  <si>
    <t xml:space="preserve">costos por datofnos </t>
  </si>
  <si>
    <t>servicios musicar</t>
  </si>
  <si>
    <t>Ambientadores</t>
  </si>
  <si>
    <t>ANEXO 3 — OTROS GASTOS OPERATIVOS (costo mensual)</t>
  </si>
  <si>
    <t>Valor mensual</t>
  </si>
  <si>
    <t>Gastos médicos (exámenes ocupacionales)</t>
  </si>
  <si>
    <t>Servicios de ambulancia</t>
  </si>
  <si>
    <t>Licencias</t>
  </si>
  <si>
    <t>Autocord</t>
  </si>
  <si>
    <t>Costos por datáfonos</t>
  </si>
  <si>
    <t>TOTAL OTROS GASTOS MENSUAL</t>
  </si>
  <si>
    <t>Unidades productivas  Apartamentos 1 Habitacion</t>
  </si>
  <si>
    <t>Unidades productivas  Apartamentos 2 Habitacion</t>
  </si>
  <si>
    <t>DATOS  GENERALES</t>
  </si>
  <si>
    <t xml:space="preserve">Bolsa de Empleo </t>
  </si>
  <si>
    <t>Agremiación (ASOTELCA / gremio)</t>
  </si>
  <si>
    <t>Operadora de Reservas  (incluido en fee Smart Stay)</t>
  </si>
  <si>
    <t>Equipo Comercial  (incluido en fee Smart Stay)</t>
  </si>
  <si>
    <t>Operación Diaria de canales (incluido en fee Smart Stay)</t>
  </si>
  <si>
    <t xml:space="preserve">Ama de Llaves </t>
  </si>
  <si>
    <t xml:space="preserve">Supervisora </t>
  </si>
  <si>
    <t>Administrador</t>
  </si>
  <si>
    <t>Desarrolladores e Innovacion  (incluido en fee Smart Stay)</t>
  </si>
  <si>
    <t>Lancha Deportiva ( 12 Viajes Diarios )</t>
  </si>
  <si>
    <t xml:space="preserve">DETALLE - VARIABLES OPERATIVAS </t>
  </si>
  <si>
    <t>Total Unidades</t>
  </si>
  <si>
    <t xml:space="preserve">Dias calendarios del Mes </t>
  </si>
  <si>
    <t xml:space="preserve">Dias calendarios del Año </t>
  </si>
  <si>
    <t xml:space="preserve">Dias goce del Propietario en el Año </t>
  </si>
  <si>
    <t xml:space="preserve">% Ocupacion por Escenario </t>
  </si>
  <si>
    <t xml:space="preserve">Dias Calendarios por Comercializar </t>
  </si>
  <si>
    <t xml:space="preserve">ADR o Tarifa Promedio por tipo de Apartamento </t>
  </si>
  <si>
    <t xml:space="preserve">APART   1 HABITACION </t>
  </si>
  <si>
    <t xml:space="preserve">APART   2 HABITACION </t>
  </si>
  <si>
    <t xml:space="preserve">Unidades  Productivas a Evaluar </t>
  </si>
  <si>
    <t xml:space="preserve">Ventas de Hospedajes </t>
  </si>
  <si>
    <t xml:space="preserve">Otros ingresos NO operacianales </t>
  </si>
  <si>
    <t xml:space="preserve">COSTOS DIRECTOS </t>
  </si>
  <si>
    <t>Comision canales ( Booking , Arbn , Web , Agencias + 20 Canales )</t>
  </si>
  <si>
    <t xml:space="preserve">Comision Fee Administracion </t>
  </si>
  <si>
    <t xml:space="preserve">Fara ( Fondo de Reposiscion y Reparacion ) </t>
  </si>
  <si>
    <t xml:space="preserve">GASTOS  PROYECTADOS </t>
  </si>
  <si>
    <t>SERVICIOS PUBLICOS</t>
  </si>
  <si>
    <t>Ocupa 100%</t>
  </si>
  <si>
    <t xml:space="preserve">GASTOS SERVICIOS PUBLICOS </t>
  </si>
  <si>
    <t xml:space="preserve">COSTOS  OPERACIONALES  PROYECTADOS </t>
  </si>
  <si>
    <t>Costos de Operación ( Nomina Personal , Variables , Dotacion )</t>
  </si>
  <si>
    <t xml:space="preserve">GASTOS VARIOS </t>
  </si>
  <si>
    <t xml:space="preserve">Honorarios Firma Contable  y Revisoria Fiscal </t>
  </si>
  <si>
    <t xml:space="preserve">Marketing y Publicidad </t>
  </si>
  <si>
    <t xml:space="preserve">Operación Fee Operador comercial </t>
  </si>
  <si>
    <t xml:space="preserve">Sayco y Acimpro </t>
  </si>
  <si>
    <t xml:space="preserve">PMS y Chanel Manager </t>
  </si>
  <si>
    <t>Contac Center y Atencion al cliente Huespedes y Propietarios (incluido en fee Smart Stay)</t>
  </si>
  <si>
    <t>Otros Gastos Operativos ( Anexo 3 ) - prorrateo x unidad</t>
  </si>
  <si>
    <t>Subtotal Mensual (Cant x Salario)</t>
  </si>
  <si>
    <t>Factor Prestacional y Aportes (%)</t>
  </si>
  <si>
    <t>Costo Total Mensual (con aportes)</t>
  </si>
  <si>
    <t>PARÁMETROS DE APORTES PATRONALES Y PRESTACIONES SOCIALES (%)</t>
  </si>
  <si>
    <t>%</t>
  </si>
  <si>
    <t>Pensión (empleador)</t>
  </si>
  <si>
    <t>ARL (Riesgo I - ajustar según cargo)</t>
  </si>
  <si>
    <t>Caja de Compensación Familiar</t>
  </si>
  <si>
    <t>Salud (EPS) empleador</t>
  </si>
  <si>
    <t>ICBF</t>
  </si>
  <si>
    <t>SENA</t>
  </si>
  <si>
    <t>Cesantías</t>
  </si>
  <si>
    <t>Intereses sobre Cesantías</t>
  </si>
  <si>
    <t>Prima de Servicios</t>
  </si>
  <si>
    <t>Vacaciones</t>
  </si>
  <si>
    <t>TOTAL FACTOR PRESTACIONAL Y APORTES (%)</t>
  </si>
  <si>
    <t xml:space="preserve">Base  de  los Dias </t>
  </si>
  <si>
    <t xml:space="preserve"> </t>
  </si>
  <si>
    <t xml:space="preserve">CONSERVADOR </t>
  </si>
  <si>
    <t>(-) Impuesto de renta ( Colocar el 35 % en el rectangulo amarillo )</t>
  </si>
  <si>
    <t>OPTIMISTA</t>
  </si>
  <si>
    <t>APART   1 HABITACION</t>
  </si>
  <si>
    <t>APART   2 HABITACION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</si>
</sst>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\(#,##0\);&quot;-&quot;"/>
    <numFmt numFmtId="165" formatCode="0.0%"/>
    <numFmt numFmtId="166" formatCode="_-* #,##0_-;\-* #,##0_-;_-* &quot;-&quot;??_-;_-@_-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0"/>
      <color rgb="FFFFFFFF"/>
      <name val="Bookman Old Style"/>
    </font>
    <font>
      <b/>
      <sz val="13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  <scheme val="minor"/>
    </font>
    <font>
      <sz val="11"/>
      <color rgb="FF000066"/>
      <name val="Calibri"/>
      <family val="2"/>
      <scheme val="minor"/>
    </font>
    <font>
      <b/>
      <sz val="12"/>
      <color rgb="FF000066"/>
      <name val="Calibri"/>
      <family val="2"/>
      <scheme val="minor"/>
    </font>
    <font>
      <b/>
      <i/>
      <sz val="11"/>
      <color rgb="FF000066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6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66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217">
    <xf numFmtId="0" fontId="0" fillId="0" borderId="0" xfId="0"/>
    <xf numFmtId="0" fontId="0" fillId="0" borderId="3" xfId="0" applyBorder="1"/>
    <xf numFmtId="0" fontId="3" fillId="0" borderId="0" xfId="0" applyFont="1"/>
    <xf numFmtId="164" fontId="0" fillId="0" borderId="0" xfId="0" applyNumberFormat="1"/>
    <xf numFmtId="0" fontId="0" fillId="0" borderId="17" xfId="0" applyBorder="1"/>
    <xf numFmtId="0" fontId="8" fillId="0" borderId="18" xfId="0" applyFont="1" applyBorder="1"/>
    <xf numFmtId="0" fontId="0" fillId="0" borderId="9" xfId="0" applyBorder="1"/>
    <xf numFmtId="164" fontId="0" fillId="0" borderId="5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19" xfId="0" applyNumberFormat="1" applyBorder="1"/>
    <xf numFmtId="164" fontId="0" fillId="0" borderId="2" xfId="0" applyNumberFormat="1" applyBorder="1"/>
    <xf numFmtId="0" fontId="2" fillId="2" borderId="16" xfId="0" applyFont="1" applyFill="1" applyBorder="1"/>
    <xf numFmtId="0" fontId="16" fillId="0" borderId="9" xfId="0" applyFont="1" applyBorder="1"/>
    <xf numFmtId="0" fontId="17" fillId="3" borderId="10" xfId="0" applyFont="1" applyFill="1" applyBorder="1"/>
    <xf numFmtId="164" fontId="1" fillId="3" borderId="14" xfId="0" applyNumberFormat="1" applyFont="1" applyFill="1" applyBorder="1"/>
    <xf numFmtId="0" fontId="16" fillId="0" borderId="12" xfId="0" applyFont="1" applyBorder="1"/>
    <xf numFmtId="164" fontId="12" fillId="0" borderId="19" xfId="0" applyNumberFormat="1" applyFont="1" applyBorder="1"/>
    <xf numFmtId="164" fontId="4" fillId="0" borderId="1" xfId="0" applyNumberFormat="1" applyFont="1" applyBorder="1"/>
    <xf numFmtId="164" fontId="4" fillId="0" borderId="19" xfId="0" applyNumberFormat="1" applyFont="1" applyBorder="1"/>
    <xf numFmtId="164" fontId="4" fillId="0" borderId="2" xfId="0" applyNumberFormat="1" applyFont="1" applyBorder="1"/>
    <xf numFmtId="0" fontId="1" fillId="0" borderId="1" xfId="0" applyFont="1" applyBorder="1"/>
    <xf numFmtId="0" fontId="1" fillId="0" borderId="19" xfId="0" applyFont="1" applyBorder="1"/>
    <xf numFmtId="0" fontId="1" fillId="0" borderId="2" xfId="0" applyFont="1" applyBorder="1"/>
    <xf numFmtId="1" fontId="12" fillId="0" borderId="12" xfId="0" applyNumberFormat="1" applyFont="1" applyBorder="1"/>
    <xf numFmtId="164" fontId="12" fillId="0" borderId="13" xfId="0" applyNumberFormat="1" applyFont="1" applyBorder="1"/>
    <xf numFmtId="1" fontId="12" fillId="0" borderId="9" xfId="0" applyNumberFormat="1" applyFont="1" applyBorder="1"/>
    <xf numFmtId="164" fontId="12" fillId="0" borderId="11" xfId="0" applyNumberFormat="1" applyFont="1" applyBorder="1"/>
    <xf numFmtId="1" fontId="4" fillId="0" borderId="9" xfId="0" applyNumberFormat="1" applyFont="1" applyBorder="1"/>
    <xf numFmtId="1" fontId="4" fillId="0" borderId="4" xfId="0" applyNumberFormat="1" applyFont="1" applyBorder="1"/>
    <xf numFmtId="164" fontId="12" fillId="0" borderId="1" xfId="0" applyNumberFormat="1" applyFont="1" applyBorder="1"/>
    <xf numFmtId="0" fontId="1" fillId="3" borderId="14" xfId="0" applyFont="1" applyFill="1" applyBorder="1"/>
    <xf numFmtId="0" fontId="19" fillId="2" borderId="10" xfId="0" applyFont="1" applyFill="1" applyBorder="1"/>
    <xf numFmtId="0" fontId="20" fillId="0" borderId="0" xfId="0" applyFont="1"/>
    <xf numFmtId="1" fontId="1" fillId="3" borderId="14" xfId="0" applyNumberFormat="1" applyFont="1" applyFill="1" applyBorder="1"/>
    <xf numFmtId="0" fontId="24" fillId="0" borderId="0" xfId="0" applyFont="1"/>
    <xf numFmtId="0" fontId="23" fillId="4" borderId="14" xfId="0" applyFont="1" applyFill="1" applyBorder="1" applyAlignment="1">
      <alignment horizontal="center"/>
    </xf>
    <xf numFmtId="0" fontId="26" fillId="4" borderId="14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23" fillId="4" borderId="14" xfId="0" applyFont="1" applyFill="1" applyBorder="1"/>
    <xf numFmtId="0" fontId="23" fillId="4" borderId="1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left"/>
    </xf>
    <xf numFmtId="0" fontId="1" fillId="2" borderId="10" xfId="0" applyFont="1" applyFill="1" applyBorder="1"/>
    <xf numFmtId="0" fontId="1" fillId="0" borderId="0" xfId="0" applyFont="1"/>
    <xf numFmtId="0" fontId="0" fillId="0" borderId="4" xfId="0" applyBorder="1"/>
    <xf numFmtId="3" fontId="9" fillId="2" borderId="14" xfId="0" applyNumberFormat="1" applyFont="1" applyFill="1" applyBorder="1" applyAlignment="1">
      <alignment horizontal="left"/>
    </xf>
    <xf numFmtId="1" fontId="9" fillId="2" borderId="14" xfId="0" applyNumberFormat="1" applyFont="1" applyFill="1" applyBorder="1" applyAlignment="1">
      <alignment horizontal="left"/>
    </xf>
    <xf numFmtId="164" fontId="24" fillId="0" borderId="9" xfId="0" applyNumberFormat="1" applyFont="1" applyBorder="1"/>
    <xf numFmtId="164" fontId="13" fillId="0" borderId="9" xfId="0" applyNumberFormat="1" applyFont="1" applyBorder="1"/>
    <xf numFmtId="0" fontId="13" fillId="0" borderId="17" xfId="0" applyFont="1" applyBorder="1"/>
    <xf numFmtId="0" fontId="15" fillId="0" borderId="18" xfId="0" applyFont="1" applyBorder="1"/>
    <xf numFmtId="165" fontId="13" fillId="0" borderId="17" xfId="0" applyNumberFormat="1" applyFont="1" applyBorder="1"/>
    <xf numFmtId="0" fontId="26" fillId="4" borderId="12" xfId="0" applyFont="1" applyFill="1" applyBorder="1" applyAlignment="1">
      <alignment horizontal="center" vertical="center"/>
    </xf>
    <xf numFmtId="0" fontId="0" fillId="0" borderId="5" xfId="0" applyBorder="1"/>
    <xf numFmtId="164" fontId="21" fillId="0" borderId="0" xfId="0" applyNumberFormat="1" applyFont="1"/>
    <xf numFmtId="164" fontId="21" fillId="0" borderId="0" xfId="0" applyNumberFormat="1" applyFont="1" applyAlignment="1">
      <alignment horizontal="center"/>
    </xf>
    <xf numFmtId="164" fontId="19" fillId="2" borderId="20" xfId="0" applyNumberFormat="1" applyFont="1" applyFill="1" applyBorder="1"/>
    <xf numFmtId="0" fontId="2" fillId="0" borderId="12" xfId="0" applyFont="1" applyBorder="1"/>
    <xf numFmtId="164" fontId="2" fillId="0" borderId="12" xfId="0" applyNumberFormat="1" applyFont="1" applyBorder="1"/>
    <xf numFmtId="164" fontId="2" fillId="0" borderId="1" xfId="0" applyNumberFormat="1" applyFont="1" applyBorder="1"/>
    <xf numFmtId="164" fontId="0" fillId="0" borderId="9" xfId="0" applyNumberFormat="1" applyBorder="1"/>
    <xf numFmtId="0" fontId="0" fillId="0" borderId="1" xfId="0" applyBorder="1"/>
    <xf numFmtId="0" fontId="30" fillId="0" borderId="19" xfId="0" applyFont="1" applyBorder="1"/>
    <xf numFmtId="0" fontId="0" fillId="0" borderId="19" xfId="0" applyBorder="1"/>
    <xf numFmtId="0" fontId="0" fillId="0" borderId="2" xfId="0" applyBorder="1"/>
    <xf numFmtId="0" fontId="31" fillId="0" borderId="19" xfId="0" applyFont="1" applyBorder="1"/>
    <xf numFmtId="164" fontId="0" fillId="0" borderId="12" xfId="0" applyNumberFormat="1" applyBorder="1"/>
    <xf numFmtId="166" fontId="0" fillId="0" borderId="9" xfId="1" applyNumberFormat="1" applyFont="1" applyFill="1" applyBorder="1"/>
    <xf numFmtId="164" fontId="0" fillId="0" borderId="4" xfId="0" applyNumberFormat="1" applyBorder="1"/>
    <xf numFmtId="166" fontId="0" fillId="0" borderId="19" xfId="1" applyNumberFormat="1" applyFont="1" applyFill="1" applyBorder="1"/>
    <xf numFmtId="9" fontId="1" fillId="0" borderId="0" xfId="0" applyNumberFormat="1" applyFont="1" applyAlignment="1">
      <alignment horizontal="right"/>
    </xf>
    <xf numFmtId="166" fontId="1" fillId="0" borderId="9" xfId="1" applyNumberFormat="1" applyFont="1" applyFill="1" applyBorder="1" applyAlignment="1">
      <alignment horizontal="center"/>
    </xf>
    <xf numFmtId="9" fontId="1" fillId="0" borderId="0" xfId="0" applyNumberFormat="1" applyFont="1"/>
    <xf numFmtId="164" fontId="21" fillId="0" borderId="9" xfId="0" applyNumberFormat="1" applyFont="1" applyBorder="1"/>
    <xf numFmtId="0" fontId="22" fillId="0" borderId="9" xfId="0" applyFont="1" applyBorder="1" applyAlignment="1">
      <alignment horizontal="right"/>
    </xf>
    <xf numFmtId="164" fontId="22" fillId="0" borderId="0" xfId="0" applyNumberFormat="1" applyFont="1"/>
    <xf numFmtId="164" fontId="22" fillId="0" borderId="12" xfId="0" applyNumberFormat="1" applyFont="1" applyBorder="1"/>
    <xf numFmtId="164" fontId="22" fillId="0" borderId="3" xfId="0" applyNumberFormat="1" applyFont="1" applyBorder="1"/>
    <xf numFmtId="164" fontId="22" fillId="0" borderId="9" xfId="0" applyNumberFormat="1" applyFont="1" applyBorder="1"/>
    <xf numFmtId="164" fontId="25" fillId="2" borderId="28" xfId="0" applyNumberFormat="1" applyFont="1" applyFill="1" applyBorder="1"/>
    <xf numFmtId="164" fontId="25" fillId="2" borderId="10" xfId="0" applyNumberFormat="1" applyFont="1" applyFill="1" applyBorder="1"/>
    <xf numFmtId="164" fontId="21" fillId="2" borderId="23" xfId="0" applyNumberFormat="1" applyFont="1" applyFill="1" applyBorder="1"/>
    <xf numFmtId="166" fontId="28" fillId="2" borderId="24" xfId="1" applyNumberFormat="1" applyFont="1" applyFill="1" applyBorder="1" applyAlignment="1">
      <alignment horizontal="right" vertical="center"/>
    </xf>
    <xf numFmtId="9" fontId="21" fillId="2" borderId="25" xfId="0" applyNumberFormat="1" applyFont="1" applyFill="1" applyBorder="1" applyAlignment="1">
      <alignment horizontal="right"/>
    </xf>
    <xf numFmtId="164" fontId="21" fillId="2" borderId="22" xfId="0" applyNumberFormat="1" applyFont="1" applyFill="1" applyBorder="1"/>
    <xf numFmtId="166" fontId="28" fillId="2" borderId="26" xfId="1" applyNumberFormat="1" applyFont="1" applyFill="1" applyBorder="1" applyAlignment="1">
      <alignment horizontal="right" vertical="center"/>
    </xf>
    <xf numFmtId="9" fontId="21" fillId="2" borderId="27" xfId="0" applyNumberFormat="1" applyFont="1" applyFill="1" applyBorder="1" applyAlignment="1">
      <alignment horizontal="right"/>
    </xf>
    <xf numFmtId="164" fontId="21" fillId="2" borderId="21" xfId="0" applyNumberFormat="1" applyFont="1" applyFill="1" applyBorder="1"/>
    <xf numFmtId="164" fontId="13" fillId="0" borderId="19" xfId="0" applyNumberFormat="1" applyFont="1" applyBorder="1"/>
    <xf numFmtId="0" fontId="19" fillId="0" borderId="12" xfId="0" applyFont="1" applyBorder="1"/>
    <xf numFmtId="164" fontId="2" fillId="0" borderId="3" xfId="0" applyNumberFormat="1" applyFont="1" applyBorder="1"/>
    <xf numFmtId="0" fontId="19" fillId="2" borderId="4" xfId="0" applyFont="1" applyFill="1" applyBorder="1"/>
    <xf numFmtId="0" fontId="19" fillId="2" borderId="32" xfId="0" applyFont="1" applyFill="1" applyBorder="1"/>
    <xf numFmtId="164" fontId="19" fillId="2" borderId="32" xfId="0" applyNumberFormat="1" applyFont="1" applyFill="1" applyBorder="1"/>
    <xf numFmtId="164" fontId="19" fillId="2" borderId="10" xfId="0" applyNumberFormat="1" applyFont="1" applyFill="1" applyBorder="1"/>
    <xf numFmtId="164" fontId="19" fillId="2" borderId="14" xfId="0" applyNumberFormat="1" applyFont="1" applyFill="1" applyBorder="1"/>
    <xf numFmtId="0" fontId="13" fillId="0" borderId="12" xfId="0" applyFont="1" applyBorder="1"/>
    <xf numFmtId="0" fontId="13" fillId="0" borderId="9" xfId="0" applyFont="1" applyBorder="1"/>
    <xf numFmtId="164" fontId="13" fillId="0" borderId="4" xfId="0" applyNumberFormat="1" applyFont="1" applyBorder="1"/>
    <xf numFmtId="0" fontId="13" fillId="0" borderId="33" xfId="0" applyFont="1" applyBorder="1"/>
    <xf numFmtId="0" fontId="15" fillId="0" borderId="17" xfId="0" applyFont="1" applyBorder="1"/>
    <xf numFmtId="0" fontId="15" fillId="0" borderId="9" xfId="0" applyFont="1" applyBorder="1"/>
    <xf numFmtId="165" fontId="13" fillId="0" borderId="12" xfId="0" applyNumberFormat="1" applyFont="1" applyBorder="1"/>
    <xf numFmtId="165" fontId="13" fillId="0" borderId="33" xfId="0" applyNumberFormat="1" applyFont="1" applyBorder="1"/>
    <xf numFmtId="3" fontId="4" fillId="0" borderId="1" xfId="0" applyNumberFormat="1" applyFont="1" applyBorder="1" applyAlignment="1">
      <alignment horizontal="left"/>
    </xf>
    <xf numFmtId="3" fontId="4" fillId="0" borderId="19" xfId="0" applyNumberFormat="1" applyFont="1" applyBorder="1" applyAlignment="1">
      <alignment horizontal="left"/>
    </xf>
    <xf numFmtId="1" fontId="4" fillId="0" borderId="19" xfId="0" applyNumberFormat="1" applyFont="1" applyBorder="1" applyAlignment="1">
      <alignment horizontal="left"/>
    </xf>
    <xf numFmtId="165" fontId="4" fillId="0" borderId="19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1" fillId="3" borderId="18" xfId="0" applyFont="1" applyFill="1" applyBorder="1"/>
    <xf numFmtId="0" fontId="12" fillId="0" borderId="1" xfId="0" applyFont="1" applyBorder="1"/>
    <xf numFmtId="0" fontId="12" fillId="0" borderId="19" xfId="0" applyFont="1" applyBorder="1"/>
    <xf numFmtId="0" fontId="19" fillId="0" borderId="1" xfId="0" applyFont="1" applyBorder="1"/>
    <xf numFmtId="164" fontId="25" fillId="0" borderId="1" xfId="0" applyNumberFormat="1" applyFont="1" applyBorder="1"/>
    <xf numFmtId="164" fontId="22" fillId="0" borderId="19" xfId="0" applyNumberFormat="1" applyFont="1" applyBorder="1"/>
    <xf numFmtId="0" fontId="22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/>
    <xf numFmtId="165" fontId="1" fillId="0" borderId="2" xfId="0" applyNumberFormat="1" applyFont="1" applyBorder="1"/>
    <xf numFmtId="0" fontId="24" fillId="0" borderId="1" xfId="0" applyFont="1" applyBorder="1"/>
    <xf numFmtId="0" fontId="32" fillId="0" borderId="17" xfId="0" applyFont="1" applyBorder="1"/>
    <xf numFmtId="0" fontId="25" fillId="0" borderId="19" xfId="0" applyFont="1" applyBorder="1"/>
    <xf numFmtId="0" fontId="33" fillId="0" borderId="19" xfId="0" applyFont="1" applyBorder="1"/>
    <xf numFmtId="0" fontId="32" fillId="0" borderId="19" xfId="0" applyFont="1" applyBorder="1"/>
    <xf numFmtId="0" fontId="33" fillId="0" borderId="12" xfId="0" applyFont="1" applyBorder="1"/>
    <xf numFmtId="166" fontId="13" fillId="0" borderId="17" xfId="1" applyNumberFormat="1" applyFont="1" applyBorder="1"/>
    <xf numFmtId="166" fontId="13" fillId="0" borderId="9" xfId="1" applyNumberFormat="1" applyFont="1" applyBorder="1"/>
    <xf numFmtId="164" fontId="25" fillId="2" borderId="14" xfId="0" applyNumberFormat="1" applyFont="1" applyFill="1" applyBorder="1"/>
    <xf numFmtId="0" fontId="23" fillId="4" borderId="10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6" fillId="4" borderId="15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13" xfId="0" applyFont="1" applyFill="1" applyBorder="1" applyAlignment="1">
      <alignment horizontal="center" vertical="center"/>
    </xf>
    <xf numFmtId="166" fontId="13" fillId="0" borderId="9" xfId="0" applyNumberFormat="1" applyFont="1" applyBorder="1"/>
    <xf numFmtId="166" fontId="34" fillId="0" borderId="9" xfId="0" applyNumberFormat="1" applyFont="1" applyBorder="1"/>
    <xf numFmtId="0" fontId="35" fillId="5" borderId="1" xfId="0" applyFont="1" applyFill="1" applyBorder="1" applyAlignment="1">
      <alignment horizontal="center"/>
    </xf>
    <xf numFmtId="164" fontId="34" fillId="0" borderId="11" xfId="0" applyNumberFormat="1" applyFont="1" applyBorder="1"/>
    <xf numFmtId="164" fontId="37" fillId="0" borderId="11" xfId="0" applyNumberFormat="1" applyFont="1" applyBorder="1"/>
    <xf numFmtId="10" fontId="34" fillId="0" borderId="11" xfId="0" applyNumberFormat="1" applyFont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/>
    <xf numFmtId="164" fontId="37" fillId="3" borderId="14" xfId="0" applyNumberFormat="1" applyFont="1" applyFill="1" applyBorder="1"/>
    <xf numFmtId="164" fontId="37" fillId="3" borderId="8" xfId="0" applyNumberFormat="1" applyFont="1" applyFill="1" applyBorder="1"/>
    <xf numFmtId="1" fontId="38" fillId="5" borderId="1" xfId="0" applyNumberFormat="1" applyFont="1" applyFill="1" applyBorder="1" applyAlignment="1">
      <alignment horizontal="center"/>
    </xf>
    <xf numFmtId="166" fontId="13" fillId="0" borderId="4" xfId="1" applyNumberFormat="1" applyFont="1" applyBorder="1"/>
    <xf numFmtId="166" fontId="28" fillId="2" borderId="29" xfId="1" applyNumberFormat="1" applyFont="1" applyFill="1" applyBorder="1" applyAlignment="1">
      <alignment horizontal="right" vertical="center"/>
    </xf>
    <xf numFmtId="9" fontId="21" fillId="2" borderId="30" xfId="0" applyNumberFormat="1" applyFont="1" applyFill="1" applyBorder="1" applyAlignment="1">
      <alignment horizontal="right"/>
    </xf>
    <xf numFmtId="164" fontId="21" fillId="2" borderId="22" xfId="0" applyNumberFormat="1" applyFont="1" applyFill="1" applyBorder="1" applyAlignment="1">
      <alignment horizontal="right"/>
    </xf>
    <xf numFmtId="164" fontId="21" fillId="2" borderId="31" xfId="0" applyNumberFormat="1" applyFont="1" applyFill="1" applyBorder="1" applyAlignment="1">
      <alignment horizontal="right"/>
    </xf>
    <xf numFmtId="0" fontId="26" fillId="4" borderId="12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166" fontId="13" fillId="0" borderId="17" xfId="0" applyNumberFormat="1" applyFont="1" applyBorder="1"/>
    <xf numFmtId="166" fontId="13" fillId="0" borderId="2" xfId="1" applyNumberFormat="1" applyFont="1" applyBorder="1"/>
    <xf numFmtId="0" fontId="13" fillId="0" borderId="1" xfId="0" applyFont="1" applyBorder="1"/>
    <xf numFmtId="166" fontId="13" fillId="0" borderId="19" xfId="1" applyNumberFormat="1" applyFont="1" applyBorder="1"/>
    <xf numFmtId="0" fontId="13" fillId="0" borderId="19" xfId="0" applyFont="1" applyBorder="1"/>
    <xf numFmtId="165" fontId="13" fillId="0" borderId="1" xfId="0" applyNumberFormat="1" applyFont="1" applyBorder="1"/>
    <xf numFmtId="164" fontId="19" fillId="2" borderId="4" xfId="0" applyNumberFormat="1" applyFont="1" applyFill="1" applyBorder="1"/>
    <xf numFmtId="164" fontId="22" fillId="0" borderId="1" xfId="0" applyNumberFormat="1" applyFont="1" applyBorder="1"/>
    <xf numFmtId="0" fontId="15" fillId="0" borderId="2" xfId="0" applyFont="1" applyBorder="1"/>
    <xf numFmtId="0" fontId="39" fillId="2" borderId="16" xfId="0" applyFont="1" applyFill="1" applyBorder="1"/>
    <xf numFmtId="0" fontId="40" fillId="2" borderId="16" xfId="0" applyFont="1" applyFill="1" applyBorder="1"/>
    <xf numFmtId="164" fontId="41" fillId="2" borderId="10" xfId="0" applyNumberFormat="1" applyFont="1" applyFill="1" applyBorder="1"/>
    <xf numFmtId="164" fontId="41" fillId="2" borderId="14" xfId="0" applyNumberFormat="1" applyFont="1" applyFill="1" applyBorder="1"/>
    <xf numFmtId="0" fontId="36" fillId="5" borderId="5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left"/>
    </xf>
    <xf numFmtId="0" fontId="38" fillId="5" borderId="13" xfId="0" applyFont="1" applyFill="1" applyBorder="1" applyAlignment="1">
      <alignment horizontal="left"/>
    </xf>
    <xf numFmtId="0" fontId="36" fillId="5" borderId="12" xfId="0" applyFont="1" applyFill="1" applyBorder="1" applyAlignment="1">
      <alignment horizontal="center" vertical="center" wrapText="1"/>
    </xf>
    <xf numFmtId="0" fontId="36" fillId="5" borderId="3" xfId="0" applyFont="1" applyFill="1" applyBorder="1" applyAlignment="1">
      <alignment horizontal="center" vertical="center" wrapText="1"/>
    </xf>
    <xf numFmtId="0" fontId="36" fillId="5" borderId="13" xfId="0" applyFont="1" applyFill="1" applyBorder="1" applyAlignment="1">
      <alignment horizontal="center" vertical="center" wrapText="1"/>
    </xf>
    <xf numFmtId="0" fontId="36" fillId="5" borderId="4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10" fontId="4" fillId="6" borderId="29" xfId="0" applyNumberFormat="1" applyFont="1" applyFill="1" applyBorder="1"/>
    <xf numFmtId="10" fontId="4" fillId="6" borderId="30" xfId="0" applyNumberFormat="1" applyFont="1" applyFill="1" applyBorder="1"/>
    <xf numFmtId="10" fontId="4" fillId="6" borderId="31" xfId="0" applyNumberFormat="1" applyFont="1" applyFill="1" applyBorder="1"/>
    <xf numFmtId="0" fontId="1" fillId="3" borderId="1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10" fontId="1" fillId="3" borderId="1" xfId="0" applyNumberFormat="1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34" fillId="6" borderId="34" xfId="0" applyFont="1" applyFill="1" applyBorder="1" applyAlignment="1">
      <alignment horizontal="left"/>
    </xf>
    <xf numFmtId="0" fontId="34" fillId="6" borderId="35" xfId="0" applyFont="1" applyFill="1" applyBorder="1" applyAlignment="1">
      <alignment horizontal="left"/>
    </xf>
    <xf numFmtId="0" fontId="34" fillId="6" borderId="36" xfId="0" applyFont="1" applyFill="1" applyBorder="1" applyAlignment="1">
      <alignment horizontal="left"/>
    </xf>
    <xf numFmtId="0" fontId="34" fillId="6" borderId="37" xfId="0" applyFont="1" applyFill="1" applyBorder="1" applyAlignment="1">
      <alignment horizontal="left"/>
    </xf>
    <xf numFmtId="0" fontId="34" fillId="6" borderId="38" xfId="0" applyFont="1" applyFill="1" applyBorder="1" applyAlignment="1">
      <alignment horizontal="left"/>
    </xf>
    <xf numFmtId="0" fontId="34" fillId="6" borderId="39" xfId="0" applyFont="1" applyFill="1" applyBorder="1" applyAlignment="1">
      <alignment horizontal="left"/>
    </xf>
    <xf numFmtId="0" fontId="29" fillId="7" borderId="12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7" borderId="13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14" fillId="2" borderId="18" xfId="0" applyFont="1" applyFill="1" applyBorder="1"/>
    <xf numFmtId="165" fontId="13" fillId="8" borderId="14" xfId="0" applyNumberFormat="1" applyFont="1" applyFill="1" applyBorder="1"/>
    <xf numFmtId="0" fontId="35" fillId="9" borderId="10" xfId="0" applyFont="1" applyFill="1" applyBorder="1" applyAlignment="1">
      <alignment horizontal="center" vertical="center"/>
    </xf>
    <xf numFmtId="0" fontId="26" fillId="9" borderId="7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9" fillId="9" borderId="12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13" xfId="0" applyFont="1" applyFill="1" applyBorder="1" applyAlignment="1">
      <alignment horizontal="center" vertical="center"/>
    </xf>
    <xf numFmtId="0" fontId="26" fillId="9" borderId="12" xfId="0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center" vertical="center"/>
    </xf>
    <xf numFmtId="0" fontId="26" fillId="9" borderId="1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669900"/>
      <color rgb="FFCCFF66"/>
      <color rgb="FFFFFF99"/>
      <color rgb="FFFF0000"/>
      <color rgb="FF00FF00"/>
      <color rgb="FF000099"/>
      <color rgb="FF0000CC"/>
      <color rgb="FF000066"/>
      <color rgb="FFDDF5CF"/>
      <color rgb="FFFBDC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49E5A3-57E8-4EC3-9371-13CF30C00904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4135f1e7-6165-4d73-bbcb-fac466c2a6f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P102"/>
  <sheetViews>
    <sheetView tabSelected="1" topLeftCell="A52" zoomScale="98" zoomScaleNormal="98" workbookViewId="0">
      <selection activeCell="A62" sqref="A62"/>
    </sheetView>
  </sheetViews>
  <sheetFormatPr baseColWidth="10" defaultRowHeight="15" x14ac:dyDescent="0.25"/>
  <cols>
    <col min="1" max="1" width="68.85546875" customWidth="1"/>
    <col min="2" max="2" width="14.85546875" customWidth="1"/>
    <col min="3" max="3" width="16.5703125" customWidth="1"/>
    <col min="4" max="4" width="17.140625" customWidth="1"/>
    <col min="5" max="5" width="17.7109375" customWidth="1"/>
    <col min="6" max="6" width="17.140625" customWidth="1"/>
    <col min="8" max="8" width="17" customWidth="1"/>
    <col min="9" max="9" width="16.85546875" customWidth="1"/>
    <col min="10" max="10" width="17.28515625" customWidth="1"/>
    <col min="11" max="11" width="17.7109375" customWidth="1"/>
    <col min="13" max="13" width="16.7109375" customWidth="1"/>
    <col min="14" max="14" width="15.42578125" customWidth="1"/>
    <col min="15" max="15" width="16" customWidth="1"/>
    <col min="16" max="16" width="16.85546875" customWidth="1"/>
  </cols>
  <sheetData>
    <row r="1" spans="1:16" s="2" customFormat="1" ht="20.25" customHeight="1" x14ac:dyDescent="0.4">
      <c r="A1" s="130" t="s">
        <v>0</v>
      </c>
      <c r="B1" s="130"/>
      <c r="C1" s="130"/>
      <c r="D1" s="130"/>
      <c r="E1" s="130"/>
      <c r="F1" s="130"/>
    </row>
    <row r="2" spans="1:16" ht="20.25" customHeight="1" x14ac:dyDescent="0.3">
      <c r="A2" s="131" t="s">
        <v>1</v>
      </c>
      <c r="B2" s="131"/>
      <c r="C2" s="131"/>
      <c r="D2" s="131"/>
      <c r="E2" s="131"/>
      <c r="F2" s="131"/>
    </row>
    <row r="3" spans="1:16" ht="20.25" customHeight="1" x14ac:dyDescent="0.25">
      <c r="A3" s="132" t="s">
        <v>2</v>
      </c>
      <c r="B3" s="132"/>
      <c r="C3" s="132"/>
      <c r="D3" s="132"/>
      <c r="E3" s="132"/>
      <c r="F3" s="132"/>
    </row>
    <row r="4" spans="1:16" ht="15" customHeight="1" thickBot="1" x14ac:dyDescent="0.3"/>
    <row r="5" spans="1:16" ht="21.75" customHeight="1" thickBot="1" x14ac:dyDescent="0.3">
      <c r="A5" s="128" t="s">
        <v>59</v>
      </c>
      <c r="B5" s="129"/>
    </row>
    <row r="6" spans="1:16" ht="21.75" customHeight="1" x14ac:dyDescent="0.25">
      <c r="A6" s="4" t="s">
        <v>57</v>
      </c>
      <c r="B6" s="104">
        <v>72</v>
      </c>
    </row>
    <row r="7" spans="1:16" ht="20.25" customHeight="1" thickBot="1" x14ac:dyDescent="0.3">
      <c r="A7" s="4" t="s">
        <v>58</v>
      </c>
      <c r="B7" s="105">
        <v>36</v>
      </c>
    </row>
    <row r="8" spans="1:16" ht="22.5" customHeight="1" thickBot="1" x14ac:dyDescent="0.3">
      <c r="A8" s="42" t="s">
        <v>71</v>
      </c>
      <c r="B8" s="45">
        <f>SUM(B6:B7)</f>
        <v>108</v>
      </c>
    </row>
    <row r="9" spans="1:16" ht="18.75" customHeight="1" x14ac:dyDescent="0.25">
      <c r="A9" s="6" t="s">
        <v>72</v>
      </c>
      <c r="B9" s="106">
        <v>30</v>
      </c>
    </row>
    <row r="10" spans="1:16" ht="18" customHeight="1" x14ac:dyDescent="0.25">
      <c r="A10" s="6" t="s">
        <v>73</v>
      </c>
      <c r="B10" s="106">
        <v>365</v>
      </c>
    </row>
    <row r="11" spans="1:16" ht="18" customHeight="1" thickBot="1" x14ac:dyDescent="0.3">
      <c r="A11" s="6" t="s">
        <v>74</v>
      </c>
      <c r="B11" s="106">
        <v>60</v>
      </c>
    </row>
    <row r="12" spans="1:16" s="43" customFormat="1" ht="18" customHeight="1" thickBot="1" x14ac:dyDescent="0.3">
      <c r="A12" s="42" t="s">
        <v>76</v>
      </c>
      <c r="B12" s="46">
        <f>+B10-B11</f>
        <v>305</v>
      </c>
    </row>
    <row r="13" spans="1:16" ht="18" customHeight="1" x14ac:dyDescent="0.25">
      <c r="A13" s="6" t="s">
        <v>3</v>
      </c>
      <c r="B13" s="107">
        <v>0.05</v>
      </c>
    </row>
    <row r="14" spans="1:16" ht="18" customHeight="1" thickBot="1" x14ac:dyDescent="0.3">
      <c r="A14" s="44" t="s">
        <v>4</v>
      </c>
      <c r="B14" s="108">
        <v>0.05</v>
      </c>
    </row>
    <row r="15" spans="1:16" ht="18" customHeight="1" thickBot="1" x14ac:dyDescent="0.3">
      <c r="B15" s="41"/>
    </row>
    <row r="16" spans="1:16" ht="21.75" customHeight="1" thickBot="1" x14ac:dyDescent="0.3">
      <c r="A16" s="133" t="s">
        <v>70</v>
      </c>
      <c r="B16" s="135" t="s">
        <v>35</v>
      </c>
      <c r="C16" s="133" t="s">
        <v>5</v>
      </c>
      <c r="D16" s="133"/>
      <c r="E16" s="133"/>
      <c r="F16" s="133"/>
      <c r="H16" s="202" t="s">
        <v>119</v>
      </c>
      <c r="I16" s="203"/>
      <c r="J16" s="203"/>
      <c r="K16" s="204"/>
      <c r="M16" s="208" t="s">
        <v>121</v>
      </c>
      <c r="N16" s="209"/>
      <c r="O16" s="209"/>
      <c r="P16" s="210"/>
    </row>
    <row r="17" spans="1:16" ht="18" customHeight="1" thickBot="1" x14ac:dyDescent="0.3">
      <c r="A17" s="137"/>
      <c r="B17" s="136"/>
      <c r="C17" s="138" t="s">
        <v>6</v>
      </c>
      <c r="D17" s="139"/>
      <c r="E17" s="139"/>
      <c r="F17" s="140"/>
      <c r="H17" s="197" t="s">
        <v>6</v>
      </c>
      <c r="I17" s="198"/>
      <c r="J17" s="198"/>
      <c r="K17" s="199"/>
      <c r="M17" s="211" t="s">
        <v>6</v>
      </c>
      <c r="N17" s="212"/>
      <c r="O17" s="212"/>
      <c r="P17" s="213"/>
    </row>
    <row r="18" spans="1:16" ht="21.75" customHeight="1" thickBot="1" x14ac:dyDescent="0.3">
      <c r="A18" s="52"/>
      <c r="B18" s="40"/>
      <c r="C18" s="158" t="s">
        <v>78</v>
      </c>
      <c r="D18" s="159"/>
      <c r="E18" s="158" t="s">
        <v>79</v>
      </c>
      <c r="F18" s="160"/>
      <c r="H18" s="200" t="s">
        <v>78</v>
      </c>
      <c r="I18" s="201"/>
      <c r="J18" s="200" t="s">
        <v>79</v>
      </c>
      <c r="K18" s="205"/>
      <c r="M18" s="214" t="s">
        <v>122</v>
      </c>
      <c r="N18" s="215"/>
      <c r="O18" s="214" t="s">
        <v>123</v>
      </c>
      <c r="P18" s="216"/>
    </row>
    <row r="19" spans="1:16" ht="18" customHeight="1" x14ac:dyDescent="0.25">
      <c r="A19" s="21" t="s">
        <v>117</v>
      </c>
      <c r="B19" s="1"/>
      <c r="C19" s="82">
        <v>365</v>
      </c>
      <c r="D19" s="85">
        <v>365</v>
      </c>
      <c r="E19" s="82">
        <v>365</v>
      </c>
      <c r="F19" s="154">
        <v>305</v>
      </c>
      <c r="H19" s="82">
        <v>365</v>
      </c>
      <c r="I19" s="85">
        <v>365</v>
      </c>
      <c r="J19" s="82">
        <v>365</v>
      </c>
      <c r="K19" s="154">
        <v>305</v>
      </c>
      <c r="M19" s="82">
        <v>365</v>
      </c>
      <c r="N19" s="85">
        <v>365</v>
      </c>
      <c r="O19" s="82">
        <v>365</v>
      </c>
      <c r="P19" s="154">
        <v>305</v>
      </c>
    </row>
    <row r="20" spans="1:16" ht="21" customHeight="1" x14ac:dyDescent="0.25">
      <c r="A20" s="22" t="s">
        <v>75</v>
      </c>
      <c r="C20" s="83">
        <v>0.55000000000000004</v>
      </c>
      <c r="D20" s="86">
        <v>0.55000000000000004</v>
      </c>
      <c r="E20" s="83">
        <v>0.55000000000000004</v>
      </c>
      <c r="F20" s="155">
        <v>0.55000000000000004</v>
      </c>
      <c r="H20" s="83">
        <v>0.65</v>
      </c>
      <c r="I20" s="86">
        <v>0.65</v>
      </c>
      <c r="J20" s="83">
        <v>0.65</v>
      </c>
      <c r="K20" s="155">
        <v>0.65</v>
      </c>
      <c r="M20" s="83">
        <v>0.75</v>
      </c>
      <c r="N20" s="86">
        <v>0.75</v>
      </c>
      <c r="O20" s="83">
        <v>0.75</v>
      </c>
      <c r="P20" s="155">
        <v>0.75</v>
      </c>
    </row>
    <row r="21" spans="1:16" ht="21" customHeight="1" thickBot="1" x14ac:dyDescent="0.3">
      <c r="A21" s="22" t="s">
        <v>80</v>
      </c>
      <c r="C21" s="84">
        <v>1</v>
      </c>
      <c r="D21" s="87">
        <v>1</v>
      </c>
      <c r="E21" s="84">
        <v>1</v>
      </c>
      <c r="F21" s="81">
        <v>1</v>
      </c>
      <c r="H21" s="84">
        <v>1</v>
      </c>
      <c r="I21" s="87">
        <v>1</v>
      </c>
      <c r="J21" s="84">
        <v>1</v>
      </c>
      <c r="K21" s="81">
        <v>1</v>
      </c>
      <c r="M21" s="84">
        <v>1</v>
      </c>
      <c r="N21" s="87">
        <v>1</v>
      </c>
      <c r="O21" s="84">
        <v>1</v>
      </c>
      <c r="P21" s="81">
        <v>1</v>
      </c>
    </row>
    <row r="22" spans="1:16" ht="18" customHeight="1" thickBot="1" x14ac:dyDescent="0.3">
      <c r="A22" s="23" t="s">
        <v>77</v>
      </c>
      <c r="B22" s="53"/>
      <c r="C22" s="84">
        <v>580000</v>
      </c>
      <c r="D22" s="87">
        <v>580000</v>
      </c>
      <c r="E22" s="156">
        <v>750000</v>
      </c>
      <c r="F22" s="157">
        <v>750000</v>
      </c>
      <c r="H22" s="84">
        <v>620000</v>
      </c>
      <c r="I22" s="87">
        <v>620000</v>
      </c>
      <c r="J22" s="156">
        <v>840000</v>
      </c>
      <c r="K22" s="157">
        <v>840000</v>
      </c>
      <c r="M22" s="84">
        <v>680000</v>
      </c>
      <c r="N22" s="87">
        <v>680000</v>
      </c>
      <c r="O22" s="156">
        <v>900000</v>
      </c>
      <c r="P22" s="157">
        <v>900000</v>
      </c>
    </row>
    <row r="23" spans="1:16" ht="24" customHeight="1" thickBot="1" x14ac:dyDescent="0.3">
      <c r="A23" s="43"/>
      <c r="C23" s="54"/>
      <c r="D23" s="55"/>
      <c r="E23" s="55"/>
      <c r="F23" s="54"/>
      <c r="H23" s="54"/>
      <c r="I23" s="55"/>
      <c r="J23" s="55"/>
      <c r="K23" s="54"/>
      <c r="M23" s="54"/>
      <c r="N23" s="55"/>
      <c r="O23" s="55"/>
      <c r="P23" s="54"/>
    </row>
    <row r="24" spans="1:16" ht="30" customHeight="1" x14ac:dyDescent="0.35">
      <c r="A24" s="124" t="s">
        <v>7</v>
      </c>
      <c r="B24" s="57"/>
      <c r="C24" s="59"/>
      <c r="D24" s="59"/>
      <c r="E24" s="58"/>
      <c r="F24" s="59"/>
      <c r="H24" s="59"/>
      <c r="I24" s="59"/>
      <c r="J24" s="58"/>
      <c r="K24" s="59"/>
      <c r="M24" s="59"/>
      <c r="N24" s="59"/>
      <c r="O24" s="58"/>
      <c r="P24" s="59"/>
    </row>
    <row r="25" spans="1:16" ht="22.5" customHeight="1" x14ac:dyDescent="0.25">
      <c r="A25" s="6" t="s">
        <v>81</v>
      </c>
      <c r="B25" s="6"/>
      <c r="C25" s="10">
        <f>+((C22*C19)*C20)*C21</f>
        <v>116435000.00000001</v>
      </c>
      <c r="D25" s="10">
        <f>+C25/12</f>
        <v>9702916.6666666679</v>
      </c>
      <c r="E25" s="10">
        <f>+((E22*E19)*E20)*E21</f>
        <v>150562500</v>
      </c>
      <c r="F25" s="10">
        <f>+E25/12</f>
        <v>12546875</v>
      </c>
      <c r="H25" s="10">
        <f>+((H22*H19)*H20)*H21</f>
        <v>147095000</v>
      </c>
      <c r="I25" s="10">
        <f>+H25/12</f>
        <v>12257916.666666666</v>
      </c>
      <c r="J25" s="10">
        <f>+((J22*J19)*J20)*J21</f>
        <v>199290000</v>
      </c>
      <c r="K25" s="10">
        <f>+J25/12</f>
        <v>16607500</v>
      </c>
      <c r="M25" s="10">
        <f>+((M22*M19)*M20)*M21</f>
        <v>186150000</v>
      </c>
      <c r="N25" s="10">
        <f>+M25/12</f>
        <v>15512500</v>
      </c>
      <c r="O25" s="10">
        <f>+((O22*O19)*O20)*O21</f>
        <v>246375000</v>
      </c>
      <c r="P25" s="10">
        <f>+O25/12</f>
        <v>20531250</v>
      </c>
    </row>
    <row r="26" spans="1:16" ht="22.5" customHeight="1" thickBot="1" x14ac:dyDescent="0.3">
      <c r="A26" s="6" t="s">
        <v>82</v>
      </c>
      <c r="B26" s="6"/>
      <c r="C26" s="11"/>
      <c r="D26" s="11"/>
      <c r="E26" s="68"/>
      <c r="F26" s="11"/>
      <c r="H26" s="11"/>
      <c r="I26" s="11"/>
      <c r="J26" s="68"/>
      <c r="K26" s="11"/>
      <c r="M26" s="11"/>
      <c r="N26" s="11"/>
      <c r="O26" s="68"/>
      <c r="P26" s="11"/>
    </row>
    <row r="27" spans="1:16" ht="23.25" customHeight="1" thickBot="1" x14ac:dyDescent="0.3">
      <c r="A27" s="32" t="s">
        <v>8</v>
      </c>
      <c r="B27" s="32"/>
      <c r="C27" s="56">
        <f>+C25+C26</f>
        <v>116435000.00000001</v>
      </c>
      <c r="D27" s="56">
        <f>+D25+D26</f>
        <v>9702916.6666666679</v>
      </c>
      <c r="E27" s="167">
        <f t="shared" ref="E27:F27" si="0">+E25+E26</f>
        <v>150562500</v>
      </c>
      <c r="F27" s="95">
        <f t="shared" si="0"/>
        <v>12546875</v>
      </c>
      <c r="H27" s="56">
        <f>+H25+H26</f>
        <v>147095000</v>
      </c>
      <c r="I27" s="56">
        <f>+I25+I26</f>
        <v>12257916.666666666</v>
      </c>
      <c r="J27" s="167">
        <f t="shared" ref="J27" si="1">+J25+J26</f>
        <v>199290000</v>
      </c>
      <c r="K27" s="95">
        <f t="shared" ref="K27" si="2">+K25+K26</f>
        <v>16607500</v>
      </c>
      <c r="M27" s="56">
        <f>+M25+M26</f>
        <v>186150000</v>
      </c>
      <c r="N27" s="56">
        <f>+N25+N26</f>
        <v>15512500</v>
      </c>
      <c r="O27" s="167">
        <f>+O25+O26</f>
        <v>246375000</v>
      </c>
      <c r="P27" s="95">
        <f>+P25+P26</f>
        <v>20531250</v>
      </c>
    </row>
    <row r="28" spans="1:16" ht="14.25" customHeight="1" x14ac:dyDescent="0.25">
      <c r="A28" s="61"/>
      <c r="B28" s="1"/>
      <c r="C28" s="66"/>
      <c r="D28" s="9"/>
      <c r="E28" s="8"/>
      <c r="F28" s="9"/>
      <c r="H28" s="66"/>
      <c r="I28" s="9"/>
      <c r="J28" s="8"/>
      <c r="K28" s="9"/>
      <c r="M28" s="66"/>
      <c r="N28" s="9"/>
      <c r="O28" s="8"/>
      <c r="P28" s="9"/>
    </row>
    <row r="29" spans="1:16" ht="17.25" customHeight="1" x14ac:dyDescent="0.25">
      <c r="A29" s="123" t="s">
        <v>91</v>
      </c>
      <c r="C29" s="60"/>
      <c r="D29" s="10"/>
      <c r="E29" s="3"/>
      <c r="F29" s="10"/>
      <c r="H29" s="60"/>
      <c r="I29" s="10"/>
      <c r="J29" s="3"/>
      <c r="K29" s="10"/>
      <c r="M29" s="60"/>
      <c r="N29" s="10"/>
      <c r="O29" s="3"/>
      <c r="P29" s="10"/>
    </row>
    <row r="30" spans="1:16" ht="15" customHeight="1" x14ac:dyDescent="0.25">
      <c r="A30" s="62"/>
      <c r="C30" s="60"/>
      <c r="D30" s="10"/>
      <c r="E30" s="3"/>
      <c r="F30" s="10"/>
      <c r="G30" t="s">
        <v>118</v>
      </c>
      <c r="H30" s="60"/>
      <c r="I30" s="10"/>
      <c r="J30" s="3"/>
      <c r="K30" s="10"/>
      <c r="M30" s="60"/>
      <c r="N30" s="10"/>
      <c r="O30" s="3"/>
      <c r="P30" s="10"/>
    </row>
    <row r="31" spans="1:16" ht="17.25" customHeight="1" x14ac:dyDescent="0.25">
      <c r="A31" s="65" t="s">
        <v>84</v>
      </c>
      <c r="B31" s="70">
        <v>0.15</v>
      </c>
      <c r="C31" s="67">
        <f>+C27*B31</f>
        <v>17465250</v>
      </c>
      <c r="D31" s="69">
        <f>+C31/12</f>
        <v>1455437.5</v>
      </c>
      <c r="E31" s="67">
        <f>+E27*B31</f>
        <v>22584375</v>
      </c>
      <c r="F31" s="69">
        <f>+E31/12</f>
        <v>1882031.25</v>
      </c>
      <c r="H31" s="67">
        <f>+H27*B31</f>
        <v>22064250</v>
      </c>
      <c r="I31" s="69">
        <f>+H31/12</f>
        <v>1838687.5</v>
      </c>
      <c r="J31" s="67">
        <f>+J27*B31</f>
        <v>29893500</v>
      </c>
      <c r="K31" s="69">
        <f>+J31/12</f>
        <v>2491125</v>
      </c>
      <c r="M31" s="67">
        <f>+M27*B31</f>
        <v>27922500</v>
      </c>
      <c r="N31" s="69">
        <f>+M31/12</f>
        <v>2326875</v>
      </c>
      <c r="O31" s="67">
        <f>+O27*B31</f>
        <v>36956250</v>
      </c>
      <c r="P31" s="69">
        <f>+O31/12</f>
        <v>3079687.5</v>
      </c>
    </row>
    <row r="32" spans="1:16" ht="17.25" customHeight="1" x14ac:dyDescent="0.25">
      <c r="A32" s="65" t="s">
        <v>85</v>
      </c>
      <c r="B32" s="71">
        <v>800000</v>
      </c>
      <c r="C32" s="67">
        <f>+B32*12</f>
        <v>9600000</v>
      </c>
      <c r="D32" s="69">
        <v>850000</v>
      </c>
      <c r="E32" s="67">
        <f>+D32*12</f>
        <v>10200000</v>
      </c>
      <c r="F32" s="69">
        <f t="shared" ref="F32:F35" si="3">+E32/12</f>
        <v>850000</v>
      </c>
      <c r="H32" s="67">
        <f>+B32*12</f>
        <v>9600000</v>
      </c>
      <c r="I32" s="69">
        <v>850000</v>
      </c>
      <c r="J32" s="67">
        <f>+I32*12</f>
        <v>10200000</v>
      </c>
      <c r="K32" s="69">
        <f t="shared" ref="K32:K35" si="4">+J32/12</f>
        <v>850000</v>
      </c>
      <c r="M32" s="67">
        <f>+B32*12</f>
        <v>9600000</v>
      </c>
      <c r="N32" s="69">
        <v>850000</v>
      </c>
      <c r="O32" s="67">
        <f>+N32*12</f>
        <v>10200000</v>
      </c>
      <c r="P32" s="69">
        <f>+O32/12</f>
        <v>850000</v>
      </c>
    </row>
    <row r="33" spans="1:16" ht="17.25" customHeight="1" x14ac:dyDescent="0.25">
      <c r="A33" s="63" t="s">
        <v>86</v>
      </c>
      <c r="B33" s="72">
        <v>0.02</v>
      </c>
      <c r="C33" s="60">
        <f>+C27*B33</f>
        <v>2328700.0000000005</v>
      </c>
      <c r="D33" s="69">
        <f t="shared" ref="D33:D59" si="5">+C33/12</f>
        <v>194058.33333333337</v>
      </c>
      <c r="E33" s="60">
        <f>+E27*B33</f>
        <v>3011250</v>
      </c>
      <c r="F33" s="69">
        <f t="shared" si="3"/>
        <v>250937.5</v>
      </c>
      <c r="H33" s="60">
        <f>+H27*B33</f>
        <v>2941900</v>
      </c>
      <c r="I33" s="69">
        <f t="shared" ref="I33:I35" si="6">+H33/12</f>
        <v>245158.33333333334</v>
      </c>
      <c r="J33" s="60">
        <f>+J27*B33</f>
        <v>3985800</v>
      </c>
      <c r="K33" s="69">
        <f t="shared" si="4"/>
        <v>332150</v>
      </c>
      <c r="M33" s="60">
        <f>+M27*B33</f>
        <v>3723000</v>
      </c>
      <c r="N33" s="69">
        <f>+M33/12</f>
        <v>310250</v>
      </c>
      <c r="O33" s="60">
        <f>+O27*B33</f>
        <v>4927500</v>
      </c>
      <c r="P33" s="69">
        <f>+O33/12</f>
        <v>410625</v>
      </c>
    </row>
    <row r="34" spans="1:16" ht="17.25" customHeight="1" x14ac:dyDescent="0.25">
      <c r="A34" s="63" t="s">
        <v>92</v>
      </c>
      <c r="B34" s="72">
        <v>7.0000000000000007E-2</v>
      </c>
      <c r="C34" s="60">
        <f>+B34*C27</f>
        <v>8150450.0000000019</v>
      </c>
      <c r="D34" s="69">
        <f t="shared" si="5"/>
        <v>679204.16666666686</v>
      </c>
      <c r="E34" s="60">
        <f>+B34*E27</f>
        <v>10539375.000000002</v>
      </c>
      <c r="F34" s="69">
        <f t="shared" si="3"/>
        <v>878281.25000000012</v>
      </c>
      <c r="H34" s="60">
        <f>+B34*H27</f>
        <v>10296650.000000002</v>
      </c>
      <c r="I34" s="69">
        <f t="shared" si="6"/>
        <v>858054.16666666686</v>
      </c>
      <c r="J34" s="60">
        <f>+B34*J27</f>
        <v>13950300.000000002</v>
      </c>
      <c r="K34" s="69">
        <f t="shared" si="4"/>
        <v>1162525.0000000002</v>
      </c>
      <c r="M34" s="60">
        <f>+B34*M27</f>
        <v>13030500.000000002</v>
      </c>
      <c r="N34" s="69">
        <f>+M34/12</f>
        <v>1085875.0000000002</v>
      </c>
      <c r="O34" s="60">
        <f>+B34*O27</f>
        <v>17246250</v>
      </c>
      <c r="P34" s="69">
        <f>+O34/12</f>
        <v>1437187.5</v>
      </c>
    </row>
    <row r="35" spans="1:16" ht="17.25" customHeight="1" x14ac:dyDescent="0.25">
      <c r="A35" s="63" t="s">
        <v>60</v>
      </c>
      <c r="B35" s="72">
        <v>0.1</v>
      </c>
      <c r="C35" s="60">
        <f>+C34*B35</f>
        <v>815045.00000000023</v>
      </c>
      <c r="D35" s="69">
        <f t="shared" si="5"/>
        <v>67920.416666666686</v>
      </c>
      <c r="E35" s="60">
        <f>+E34*B35</f>
        <v>1053937.5000000002</v>
      </c>
      <c r="F35" s="69">
        <f t="shared" si="3"/>
        <v>87828.125000000015</v>
      </c>
      <c r="H35" s="60">
        <f>+H34*B35</f>
        <v>1029665.0000000002</v>
      </c>
      <c r="I35" s="69">
        <f t="shared" si="6"/>
        <v>85805.416666666686</v>
      </c>
      <c r="J35" s="60">
        <f>+J34*B35</f>
        <v>1395030.0000000002</v>
      </c>
      <c r="K35" s="69">
        <f t="shared" si="4"/>
        <v>116252.50000000001</v>
      </c>
      <c r="M35" s="60">
        <f>+M34*B35</f>
        <v>1303050.0000000002</v>
      </c>
      <c r="N35" s="69">
        <f>+M35/12</f>
        <v>108587.50000000001</v>
      </c>
      <c r="O35" s="60">
        <f>+O34*B35</f>
        <v>1724625</v>
      </c>
      <c r="P35" s="69">
        <f>+O35/12</f>
        <v>143718.75</v>
      </c>
    </row>
    <row r="36" spans="1:16" ht="17.25" customHeight="1" thickBot="1" x14ac:dyDescent="0.3">
      <c r="A36" s="64"/>
      <c r="B36" s="53"/>
      <c r="C36" s="68"/>
      <c r="D36" s="69"/>
      <c r="E36" s="7"/>
      <c r="F36" s="11"/>
      <c r="H36" s="68"/>
      <c r="I36" s="69"/>
      <c r="J36" s="7"/>
      <c r="K36" s="11"/>
      <c r="M36" s="68"/>
      <c r="N36" s="69"/>
      <c r="O36" s="7"/>
      <c r="P36" s="11"/>
    </row>
    <row r="37" spans="1:16" ht="21.75" customHeight="1" thickBot="1" x14ac:dyDescent="0.3">
      <c r="A37" s="32" t="s">
        <v>83</v>
      </c>
      <c r="B37" s="32"/>
      <c r="C37" s="79">
        <f>+C31+C32+C33+C34+C35</f>
        <v>38359445</v>
      </c>
      <c r="D37" s="127">
        <f>+D31+D32+D33+D34+D35</f>
        <v>3246620.416666667</v>
      </c>
      <c r="E37" s="80">
        <f>SUM(E31:E36)</f>
        <v>47388937.5</v>
      </c>
      <c r="F37" s="127">
        <f>SUM(F31:F36)</f>
        <v>3949078.125</v>
      </c>
      <c r="H37" s="79">
        <f>+H31+H32+H33+H34+H35</f>
        <v>45932465</v>
      </c>
      <c r="I37" s="127">
        <f>+I31+I32+I33+I34+I35</f>
        <v>3877705.416666667</v>
      </c>
      <c r="J37" s="80">
        <f>SUM(J31:J36)</f>
        <v>59424630</v>
      </c>
      <c r="K37" s="127">
        <f>SUM(K31:K36)</f>
        <v>4952052.5</v>
      </c>
      <c r="M37" s="79">
        <f>+M31+M32+M33+M34+M35</f>
        <v>55579050</v>
      </c>
      <c r="N37" s="127">
        <f>SUM(N31:N36)</f>
        <v>4681587.5</v>
      </c>
      <c r="O37" s="80">
        <f>SUM(O31:O36)</f>
        <v>71054625</v>
      </c>
      <c r="P37" s="127">
        <f>SUM(P31:P36)</f>
        <v>5921218.75</v>
      </c>
    </row>
    <row r="38" spans="1:16" s="35" customFormat="1" ht="15" customHeight="1" x14ac:dyDescent="0.25">
      <c r="A38" s="119"/>
      <c r="B38" s="47"/>
      <c r="C38" s="76"/>
      <c r="D38" s="69"/>
      <c r="E38" s="77"/>
      <c r="F38" s="168"/>
      <c r="H38" s="76"/>
      <c r="I38" s="69"/>
      <c r="J38" s="77"/>
      <c r="K38" s="168"/>
      <c r="M38" s="76"/>
      <c r="N38" s="69"/>
      <c r="O38" s="77"/>
      <c r="P38" s="168"/>
    </row>
    <row r="39" spans="1:16" s="35" customFormat="1" ht="21.75" customHeight="1" x14ac:dyDescent="0.35">
      <c r="A39" s="122" t="s">
        <v>87</v>
      </c>
      <c r="B39" s="47"/>
      <c r="C39" s="78"/>
      <c r="D39" s="69"/>
      <c r="E39" s="75"/>
      <c r="F39" s="114"/>
      <c r="H39" s="78"/>
      <c r="I39" s="69"/>
      <c r="J39" s="75"/>
      <c r="K39" s="114"/>
      <c r="M39" s="78"/>
      <c r="N39" s="69"/>
      <c r="O39" s="75"/>
      <c r="P39" s="114"/>
    </row>
    <row r="40" spans="1:16" s="35" customFormat="1" ht="15" customHeight="1" x14ac:dyDescent="0.25">
      <c r="A40" s="62"/>
      <c r="B40" s="47"/>
      <c r="C40" s="78"/>
      <c r="D40" s="69"/>
      <c r="E40" s="75"/>
      <c r="F40" s="114"/>
      <c r="H40" s="78"/>
      <c r="I40" s="69"/>
      <c r="J40" s="75"/>
      <c r="K40" s="114"/>
      <c r="M40" s="78"/>
      <c r="N40" s="69"/>
      <c r="O40" s="75"/>
      <c r="P40" s="114"/>
    </row>
    <row r="41" spans="1:16" s="35" customFormat="1" ht="15" customHeight="1" x14ac:dyDescent="0.25">
      <c r="A41" s="121" t="s">
        <v>88</v>
      </c>
      <c r="B41" s="74" t="s">
        <v>89</v>
      </c>
      <c r="C41" s="78"/>
      <c r="D41" s="69"/>
      <c r="E41" s="75"/>
      <c r="F41" s="114"/>
      <c r="H41" s="78"/>
      <c r="I41" s="69"/>
      <c r="J41" s="75"/>
      <c r="K41" s="114"/>
      <c r="M41" s="78"/>
      <c r="N41" s="69"/>
      <c r="O41" s="75"/>
      <c r="P41" s="114"/>
    </row>
    <row r="42" spans="1:16" ht="15" customHeight="1" x14ac:dyDescent="0.25">
      <c r="A42" s="63" t="s">
        <v>9</v>
      </c>
      <c r="B42" s="73">
        <v>1000000</v>
      </c>
      <c r="C42" s="60">
        <f>+(B42*C20)*12</f>
        <v>6600000</v>
      </c>
      <c r="D42" s="69">
        <f t="shared" si="5"/>
        <v>550000</v>
      </c>
      <c r="E42" s="3">
        <f>+C42+(C42*5%)</f>
        <v>6930000</v>
      </c>
      <c r="F42" s="10">
        <f>+E42/12</f>
        <v>577500</v>
      </c>
      <c r="H42" s="60">
        <f>+(B42*H20)*12</f>
        <v>7800000</v>
      </c>
      <c r="I42" s="69">
        <f t="shared" ref="I42:I45" si="7">+H42/12</f>
        <v>650000</v>
      </c>
      <c r="J42" s="3">
        <f>+H42+(H42*5%)</f>
        <v>8190000</v>
      </c>
      <c r="K42" s="10">
        <f>+J42/12</f>
        <v>682500</v>
      </c>
      <c r="M42" s="60">
        <f>+(B42*M20)*12</f>
        <v>9000000</v>
      </c>
      <c r="N42" s="69">
        <f>+M42/12</f>
        <v>750000</v>
      </c>
      <c r="O42" s="3">
        <f>+M42+(M42*5%)</f>
        <v>9450000</v>
      </c>
      <c r="P42" s="10">
        <f>+O42/12</f>
        <v>787500</v>
      </c>
    </row>
    <row r="43" spans="1:16" ht="15" customHeight="1" x14ac:dyDescent="0.25">
      <c r="A43" s="63" t="s">
        <v>10</v>
      </c>
      <c r="B43" s="73">
        <v>450000</v>
      </c>
      <c r="C43" s="60">
        <f>+(B43*C20)*12</f>
        <v>2970000.0000000005</v>
      </c>
      <c r="D43" s="69">
        <f t="shared" si="5"/>
        <v>247500.00000000003</v>
      </c>
      <c r="E43" s="3">
        <f t="shared" ref="E43:E45" si="8">+C43+(C43*5%)</f>
        <v>3118500.0000000005</v>
      </c>
      <c r="F43" s="10">
        <f t="shared" ref="F43:F45" si="9">+E43/12</f>
        <v>259875.00000000003</v>
      </c>
      <c r="H43" s="60">
        <f>+(B43*H20)*12</f>
        <v>3510000</v>
      </c>
      <c r="I43" s="69">
        <f t="shared" si="7"/>
        <v>292500</v>
      </c>
      <c r="J43" s="3">
        <f t="shared" ref="J43:J45" si="10">+H43+(H43*5%)</f>
        <v>3685500</v>
      </c>
      <c r="K43" s="10">
        <f t="shared" ref="K43:K45" si="11">+J43/12</f>
        <v>307125</v>
      </c>
      <c r="M43" s="60">
        <f>+(B43*M20)*12</f>
        <v>4050000</v>
      </c>
      <c r="N43" s="69">
        <f>+M43/12</f>
        <v>337500</v>
      </c>
      <c r="O43" s="3">
        <f>+M43+(M43*5%)</f>
        <v>4252500</v>
      </c>
      <c r="P43" s="10">
        <f>+O43/12</f>
        <v>354375</v>
      </c>
    </row>
    <row r="44" spans="1:16" ht="18" customHeight="1" x14ac:dyDescent="0.25">
      <c r="A44" s="63" t="s">
        <v>11</v>
      </c>
      <c r="B44" s="73">
        <v>250000</v>
      </c>
      <c r="C44" s="60">
        <f>+(B44*C20)*12</f>
        <v>1650000</v>
      </c>
      <c r="D44" s="69">
        <f t="shared" si="5"/>
        <v>137500</v>
      </c>
      <c r="E44" s="3">
        <f t="shared" si="8"/>
        <v>1732500</v>
      </c>
      <c r="F44" s="10">
        <f t="shared" si="9"/>
        <v>144375</v>
      </c>
      <c r="H44" s="60">
        <f>+(B44*H20)*12</f>
        <v>1950000</v>
      </c>
      <c r="I44" s="69">
        <f t="shared" si="7"/>
        <v>162500</v>
      </c>
      <c r="J44" s="3">
        <f t="shared" si="10"/>
        <v>2047500</v>
      </c>
      <c r="K44" s="10">
        <f t="shared" si="11"/>
        <v>170625</v>
      </c>
      <c r="M44" s="60">
        <f>+(B44*M20)*12</f>
        <v>2250000</v>
      </c>
      <c r="N44" s="69">
        <f>+M44/12</f>
        <v>187500</v>
      </c>
      <c r="O44" s="3">
        <f>+M44+(M44*5%)</f>
        <v>2362500</v>
      </c>
      <c r="P44" s="10">
        <f>+O44/12</f>
        <v>196875</v>
      </c>
    </row>
    <row r="45" spans="1:16" ht="15" customHeight="1" x14ac:dyDescent="0.25">
      <c r="A45" s="63" t="s">
        <v>12</v>
      </c>
      <c r="B45" s="73">
        <v>80000</v>
      </c>
      <c r="C45" s="60">
        <f>$B45*12</f>
        <v>960000</v>
      </c>
      <c r="D45" s="69">
        <f t="shared" si="5"/>
        <v>80000</v>
      </c>
      <c r="E45" s="3">
        <f t="shared" si="8"/>
        <v>1008000</v>
      </c>
      <c r="F45" s="10">
        <f t="shared" si="9"/>
        <v>84000</v>
      </c>
      <c r="H45" s="60">
        <f>$B45*12</f>
        <v>960000</v>
      </c>
      <c r="I45" s="69">
        <f t="shared" si="7"/>
        <v>80000</v>
      </c>
      <c r="J45" s="3">
        <f t="shared" si="10"/>
        <v>1008000</v>
      </c>
      <c r="K45" s="10">
        <f t="shared" si="11"/>
        <v>84000</v>
      </c>
      <c r="M45" s="60">
        <f>$B45*12</f>
        <v>960000</v>
      </c>
      <c r="N45" s="69">
        <f>+M45/12</f>
        <v>80000</v>
      </c>
      <c r="O45" s="3">
        <f>+M45+(M45*5%)</f>
        <v>1008000</v>
      </c>
      <c r="P45" s="10">
        <f>+O45/12</f>
        <v>84000</v>
      </c>
    </row>
    <row r="46" spans="1:16" ht="15" customHeight="1" thickBot="1" x14ac:dyDescent="0.3">
      <c r="A46" s="64"/>
      <c r="B46" s="48"/>
      <c r="C46" s="68"/>
      <c r="D46" s="69"/>
      <c r="E46" s="7"/>
      <c r="F46" s="11"/>
      <c r="H46" s="68"/>
      <c r="I46" s="69"/>
      <c r="J46" s="7"/>
      <c r="K46" s="11"/>
      <c r="M46" s="68"/>
      <c r="N46" s="69"/>
      <c r="O46" s="7"/>
      <c r="P46" s="11"/>
    </row>
    <row r="47" spans="1:16" ht="23.25" customHeight="1" thickBot="1" x14ac:dyDescent="0.3">
      <c r="A47" s="32" t="s">
        <v>90</v>
      </c>
      <c r="B47" s="32"/>
      <c r="C47" s="80">
        <f>+C42+C43+C44+C45</f>
        <v>12180000</v>
      </c>
      <c r="D47" s="80">
        <f>+D42+D43+D44+D45</f>
        <v>1015000</v>
      </c>
      <c r="E47" s="80">
        <f t="shared" ref="E47:F47" si="12">+E42+E43+E44+E45</f>
        <v>12789000</v>
      </c>
      <c r="F47" s="127">
        <f t="shared" si="12"/>
        <v>1065750</v>
      </c>
      <c r="H47" s="80">
        <f>+H42+H43+H44+H45</f>
        <v>14220000</v>
      </c>
      <c r="I47" s="80">
        <f>+I42+I43+I44+I45</f>
        <v>1185000</v>
      </c>
      <c r="J47" s="80">
        <f t="shared" ref="J47:K47" si="13">+J42+J43+J44+J45</f>
        <v>14931000</v>
      </c>
      <c r="K47" s="127">
        <f t="shared" si="13"/>
        <v>1244250</v>
      </c>
      <c r="M47" s="80">
        <f>+M42+M43+M44+M45</f>
        <v>16260000</v>
      </c>
      <c r="N47" s="80">
        <f>+N42+N43+N44+N45</f>
        <v>1355000</v>
      </c>
      <c r="O47" s="80">
        <f>+O42+O43+O44+O45</f>
        <v>17073000</v>
      </c>
      <c r="P47" s="127">
        <f>+P42+P43+P44+P45</f>
        <v>1422750</v>
      </c>
    </row>
    <row r="48" spans="1:16" ht="18.75" customHeight="1" x14ac:dyDescent="0.25">
      <c r="A48" s="89"/>
      <c r="B48" s="112"/>
      <c r="C48" s="113"/>
      <c r="D48" s="69"/>
      <c r="E48" s="90"/>
      <c r="F48" s="59"/>
      <c r="H48" s="113"/>
      <c r="I48" s="69"/>
      <c r="J48" s="90"/>
      <c r="K48" s="59"/>
      <c r="M48" s="113"/>
      <c r="N48" s="69"/>
      <c r="O48" s="90"/>
      <c r="P48" s="59"/>
    </row>
    <row r="49" spans="1:16" s="35" customFormat="1" ht="22.5" customHeight="1" x14ac:dyDescent="0.25">
      <c r="A49" s="120" t="s">
        <v>93</v>
      </c>
      <c r="B49" s="115"/>
      <c r="C49" s="114"/>
      <c r="D49" s="69"/>
      <c r="E49" s="75"/>
      <c r="F49" s="114"/>
      <c r="H49" s="114"/>
      <c r="I49" s="69"/>
      <c r="J49" s="75"/>
      <c r="K49" s="114"/>
      <c r="M49" s="114"/>
      <c r="N49" s="69"/>
      <c r="O49" s="75"/>
      <c r="P49" s="114"/>
    </row>
    <row r="50" spans="1:16" ht="18.75" customHeight="1" x14ac:dyDescent="0.25">
      <c r="A50" s="6" t="s">
        <v>13</v>
      </c>
      <c r="B50" s="116">
        <v>50000</v>
      </c>
      <c r="C50" s="10">
        <f>+B50*12</f>
        <v>600000</v>
      </c>
      <c r="D50" s="69">
        <f t="shared" si="5"/>
        <v>50000</v>
      </c>
      <c r="E50" s="48">
        <f>+C50</f>
        <v>600000</v>
      </c>
      <c r="F50" s="88">
        <f>+E50/12</f>
        <v>50000</v>
      </c>
      <c r="H50" s="10">
        <f>+B50*12</f>
        <v>600000</v>
      </c>
      <c r="I50" s="69">
        <f t="shared" ref="I50:I55" si="14">+H50/12</f>
        <v>50000</v>
      </c>
      <c r="J50" s="48">
        <f>+H50</f>
        <v>600000</v>
      </c>
      <c r="K50" s="88">
        <f>+J50/12</f>
        <v>50000</v>
      </c>
      <c r="M50" s="10">
        <f>+B50*12</f>
        <v>600000</v>
      </c>
      <c r="N50" s="69">
        <f>+M50/12</f>
        <v>50000</v>
      </c>
      <c r="O50" s="48">
        <f>+M50</f>
        <v>600000</v>
      </c>
      <c r="P50" s="88">
        <f>+O50/12</f>
        <v>50000</v>
      </c>
    </row>
    <row r="51" spans="1:16" ht="20.25" customHeight="1" x14ac:dyDescent="0.25">
      <c r="A51" s="6" t="s">
        <v>14</v>
      </c>
      <c r="B51" s="116">
        <v>170000</v>
      </c>
      <c r="C51" s="10">
        <f>+B51*12</f>
        <v>2040000</v>
      </c>
      <c r="D51" s="69">
        <f t="shared" si="5"/>
        <v>170000</v>
      </c>
      <c r="E51" s="48">
        <f>+C51+(C51*5%)</f>
        <v>2142000</v>
      </c>
      <c r="F51" s="88">
        <f t="shared" ref="F51:F55" si="15">+E51/12</f>
        <v>178500</v>
      </c>
      <c r="H51" s="10">
        <f>+C51+(C51*5%)</f>
        <v>2142000</v>
      </c>
      <c r="I51" s="69">
        <f t="shared" si="14"/>
        <v>178500</v>
      </c>
      <c r="J51" s="48">
        <f>+H51+(H51*5%)</f>
        <v>2249100</v>
      </c>
      <c r="K51" s="88">
        <f t="shared" ref="K51:K55" si="16">+J51/12</f>
        <v>187425</v>
      </c>
      <c r="M51" s="10">
        <f>+H51+(H51*5%)</f>
        <v>2249100</v>
      </c>
      <c r="N51" s="69">
        <f>+M51/12</f>
        <v>187425</v>
      </c>
      <c r="O51" s="48">
        <f>+M51+(M51*5%)</f>
        <v>2361555</v>
      </c>
      <c r="P51" s="88">
        <f>+O51/12</f>
        <v>196796.25</v>
      </c>
    </row>
    <row r="52" spans="1:16" ht="21" customHeight="1" x14ac:dyDescent="0.25">
      <c r="A52" s="6" t="s">
        <v>15</v>
      </c>
      <c r="B52" s="116">
        <v>150000</v>
      </c>
      <c r="C52" s="10">
        <f>+B52*12</f>
        <v>1800000</v>
      </c>
      <c r="D52" s="69">
        <f t="shared" si="5"/>
        <v>150000</v>
      </c>
      <c r="E52" s="48">
        <f t="shared" ref="E52" si="17">+C52+(C52*5%)</f>
        <v>1890000</v>
      </c>
      <c r="F52" s="88">
        <f t="shared" si="15"/>
        <v>157500</v>
      </c>
      <c r="H52" s="10">
        <f>+C52+(C52*10%)</f>
        <v>1980000</v>
      </c>
      <c r="I52" s="69">
        <f t="shared" si="14"/>
        <v>165000</v>
      </c>
      <c r="J52" s="48">
        <f t="shared" ref="J52" si="18">+H52+(H52*5%)</f>
        <v>2079000</v>
      </c>
      <c r="K52" s="88">
        <f t="shared" si="16"/>
        <v>173250</v>
      </c>
      <c r="M52" s="10">
        <f>+H52+(H52*10%)</f>
        <v>2178000</v>
      </c>
      <c r="N52" s="69">
        <f>+M52/12</f>
        <v>181500</v>
      </c>
      <c r="O52" s="48">
        <f>+M52+(M52*5%)</f>
        <v>2286900</v>
      </c>
      <c r="P52" s="88">
        <f>+O52/12</f>
        <v>190575</v>
      </c>
    </row>
    <row r="53" spans="1:16" s="35" customFormat="1" ht="19.5" customHeight="1" x14ac:dyDescent="0.25">
      <c r="A53" s="6" t="s">
        <v>95</v>
      </c>
      <c r="B53" s="117">
        <v>0.01</v>
      </c>
      <c r="C53" s="10">
        <f>C$27*$B53</f>
        <v>1164350.0000000002</v>
      </c>
      <c r="D53" s="69">
        <f t="shared" si="5"/>
        <v>97029.166666666686</v>
      </c>
      <c r="E53" s="48">
        <f>+C53+(C53*5%)</f>
        <v>1222567.5000000002</v>
      </c>
      <c r="F53" s="88">
        <f t="shared" si="15"/>
        <v>101880.62500000001</v>
      </c>
      <c r="H53" s="10">
        <f>H$27*$B53</f>
        <v>1470950</v>
      </c>
      <c r="I53" s="69">
        <f t="shared" si="14"/>
        <v>122579.16666666667</v>
      </c>
      <c r="J53" s="48">
        <f>+H53+(H53*5%)</f>
        <v>1544497.5</v>
      </c>
      <c r="K53" s="88">
        <f t="shared" si="16"/>
        <v>128708.125</v>
      </c>
      <c r="M53" s="10">
        <f>M$27*$B53</f>
        <v>1861500</v>
      </c>
      <c r="N53" s="69">
        <f>+M53/12</f>
        <v>155125</v>
      </c>
      <c r="O53" s="48">
        <f>+M53+(M53*5%)</f>
        <v>1954575</v>
      </c>
      <c r="P53" s="88">
        <f>+O53/12</f>
        <v>162881.25</v>
      </c>
    </row>
    <row r="54" spans="1:16" s="35" customFormat="1" ht="18.75" customHeight="1" x14ac:dyDescent="0.25">
      <c r="A54" s="6" t="s">
        <v>94</v>
      </c>
      <c r="B54" s="116">
        <v>70000</v>
      </c>
      <c r="C54" s="10">
        <f>$B54*12</f>
        <v>840000</v>
      </c>
      <c r="D54" s="69">
        <f t="shared" si="5"/>
        <v>70000</v>
      </c>
      <c r="E54" s="48">
        <f>+C54</f>
        <v>840000</v>
      </c>
      <c r="F54" s="88">
        <f t="shared" si="15"/>
        <v>70000</v>
      </c>
      <c r="H54" s="10">
        <f>$B54*12</f>
        <v>840000</v>
      </c>
      <c r="I54" s="69">
        <f t="shared" si="14"/>
        <v>70000</v>
      </c>
      <c r="J54" s="48">
        <f>+H54</f>
        <v>840000</v>
      </c>
      <c r="K54" s="88">
        <f t="shared" si="16"/>
        <v>70000</v>
      </c>
      <c r="M54" s="10">
        <f>$B54*12</f>
        <v>840000</v>
      </c>
      <c r="N54" s="69">
        <f>+M54/12</f>
        <v>70000</v>
      </c>
      <c r="O54" s="48">
        <f>+M54</f>
        <v>840000</v>
      </c>
      <c r="P54" s="88">
        <f>+O54/12</f>
        <v>70000</v>
      </c>
    </row>
    <row r="55" spans="1:16" s="35" customFormat="1" ht="19.5" customHeight="1" thickBot="1" x14ac:dyDescent="0.3">
      <c r="A55" s="44" t="s">
        <v>96</v>
      </c>
      <c r="B55" s="118">
        <v>0.1</v>
      </c>
      <c r="C55" s="11">
        <f>C$27*$B55</f>
        <v>11643500.000000002</v>
      </c>
      <c r="D55" s="69">
        <f t="shared" si="5"/>
        <v>970291.66666666686</v>
      </c>
      <c r="E55" s="48">
        <f>+E27*B55</f>
        <v>15056250</v>
      </c>
      <c r="F55" s="88">
        <f t="shared" si="15"/>
        <v>1254687.5</v>
      </c>
      <c r="H55" s="11">
        <f>H$27*$B55</f>
        <v>14709500</v>
      </c>
      <c r="I55" s="69">
        <f t="shared" si="14"/>
        <v>1225791.6666666667</v>
      </c>
      <c r="J55" s="48">
        <f>+J27*B55</f>
        <v>19929000</v>
      </c>
      <c r="K55" s="88">
        <f t="shared" si="16"/>
        <v>1660750</v>
      </c>
      <c r="M55" s="11">
        <f>M$27*$B55</f>
        <v>18615000</v>
      </c>
      <c r="N55" s="69">
        <f>+M55/12</f>
        <v>1551250</v>
      </c>
      <c r="O55" s="48">
        <f>+O27*B55</f>
        <v>24637500</v>
      </c>
      <c r="P55" s="88">
        <f>+O55/12</f>
        <v>2053125</v>
      </c>
    </row>
    <row r="56" spans="1:16" s="33" customFormat="1" ht="26.25" customHeight="1" thickBot="1" x14ac:dyDescent="0.3">
      <c r="A56" s="91" t="s">
        <v>93</v>
      </c>
      <c r="B56" s="92"/>
      <c r="C56" s="93">
        <f>SUM(C49:C55)</f>
        <v>18087850</v>
      </c>
      <c r="D56" s="95">
        <f>SUM(D49:D55)</f>
        <v>1507320.8333333335</v>
      </c>
      <c r="E56" s="94">
        <f>SUM(E49:E55)</f>
        <v>21750817.5</v>
      </c>
      <c r="F56" s="95">
        <f>SUM(F49:F55)</f>
        <v>1812568.125</v>
      </c>
      <c r="H56" s="93">
        <f>SUM(H49:H55)</f>
        <v>21742450</v>
      </c>
      <c r="I56" s="95">
        <f>SUM(I49:I55)</f>
        <v>1811870.8333333335</v>
      </c>
      <c r="J56" s="94">
        <f>SUM(J49:J55)</f>
        <v>27241597.5</v>
      </c>
      <c r="K56" s="95">
        <f>SUM(K49:K55)</f>
        <v>2270133.125</v>
      </c>
      <c r="M56" s="93">
        <f>SUM(M49:M55)</f>
        <v>26343600</v>
      </c>
      <c r="N56" s="95">
        <f>SUM(N49:N55)</f>
        <v>2195300</v>
      </c>
      <c r="O56" s="94">
        <f>SUM(O49:O55)</f>
        <v>32680530</v>
      </c>
      <c r="P56" s="95">
        <f>SUM(P49:P55)</f>
        <v>2723377.5</v>
      </c>
    </row>
    <row r="57" spans="1:16" ht="15" customHeight="1" x14ac:dyDescent="0.25">
      <c r="A57" s="4"/>
      <c r="B57" s="49"/>
      <c r="C57" s="96"/>
      <c r="D57" s="69">
        <f t="shared" si="5"/>
        <v>0</v>
      </c>
      <c r="E57" s="99"/>
      <c r="F57" s="163"/>
      <c r="H57" s="96"/>
      <c r="I57" s="69">
        <f t="shared" ref="I57:I59" si="19">+H57/12</f>
        <v>0</v>
      </c>
      <c r="J57" s="99"/>
      <c r="K57" s="163"/>
      <c r="M57" s="96"/>
      <c r="N57" s="69"/>
      <c r="O57" s="99"/>
      <c r="P57" s="163"/>
    </row>
    <row r="58" spans="1:16" ht="15" customHeight="1" x14ac:dyDescent="0.25">
      <c r="A58" s="4" t="s">
        <v>97</v>
      </c>
      <c r="B58" s="125"/>
      <c r="C58" s="126">
        <v>180000</v>
      </c>
      <c r="D58" s="69">
        <f t="shared" si="5"/>
        <v>15000</v>
      </c>
      <c r="E58" s="161">
        <f>+C58</f>
        <v>180000</v>
      </c>
      <c r="F58" s="164">
        <f>+E58/12</f>
        <v>15000</v>
      </c>
      <c r="H58" s="126">
        <f>+C58+(C58*5%)</f>
        <v>189000</v>
      </c>
      <c r="I58" s="69">
        <f t="shared" si="19"/>
        <v>15750</v>
      </c>
      <c r="J58" s="161">
        <f>+H58</f>
        <v>189000</v>
      </c>
      <c r="K58" s="164">
        <f>+J58/12</f>
        <v>15750</v>
      </c>
      <c r="M58" s="126">
        <f>+H58+(H58*5%)</f>
        <v>198450</v>
      </c>
      <c r="N58" s="69">
        <f>+M58/12</f>
        <v>16537.5</v>
      </c>
      <c r="O58" s="161">
        <f>+M58</f>
        <v>198450</v>
      </c>
      <c r="P58" s="164">
        <f>+O58/12</f>
        <v>16537.5</v>
      </c>
    </row>
    <row r="59" spans="1:16" ht="15" customHeight="1" x14ac:dyDescent="0.25">
      <c r="A59" s="4" t="s">
        <v>98</v>
      </c>
      <c r="B59" s="125"/>
      <c r="C59" s="126">
        <v>350000</v>
      </c>
      <c r="D59" s="69">
        <f t="shared" si="5"/>
        <v>29166.666666666668</v>
      </c>
      <c r="E59" s="161">
        <f>+C59+(C59*5%)</f>
        <v>367500</v>
      </c>
      <c r="F59" s="164">
        <f t="shared" ref="F59:F60" si="20">+E59/12</f>
        <v>30625</v>
      </c>
      <c r="H59" s="126">
        <f>+C59+(C59*5%)</f>
        <v>367500</v>
      </c>
      <c r="I59" s="69">
        <f t="shared" si="19"/>
        <v>30625</v>
      </c>
      <c r="J59" s="161">
        <f>+H59+(H59*5%)</f>
        <v>385875</v>
      </c>
      <c r="K59" s="164">
        <f t="shared" ref="K59:K60" si="21">+J59/12</f>
        <v>32156.25</v>
      </c>
      <c r="M59" s="126">
        <f>+H59+(H59*5%)</f>
        <v>385875</v>
      </c>
      <c r="N59" s="69">
        <f>+M59/12</f>
        <v>32156.25</v>
      </c>
      <c r="O59" s="161">
        <f>+M59+(M59*5%)</f>
        <v>405168.75</v>
      </c>
      <c r="P59" s="164">
        <f>+O59/12</f>
        <v>33764.0625</v>
      </c>
    </row>
    <row r="60" spans="1:16" ht="15" customHeight="1" x14ac:dyDescent="0.25">
      <c r="A60" s="4" t="s">
        <v>100</v>
      </c>
      <c r="B60" s="49"/>
      <c r="C60" s="141">
        <f>+(B100*12)/$B$8</f>
        <v>2966666.6666666665</v>
      </c>
      <c r="D60" s="142">
        <f>+C60/12</f>
        <v>247222.22222222222</v>
      </c>
      <c r="E60" s="161">
        <f>+C60+(C60*5%)</f>
        <v>3115000</v>
      </c>
      <c r="F60" s="164">
        <f t="shared" si="20"/>
        <v>259583.33333333334</v>
      </c>
      <c r="H60" s="126">
        <f>+C60+(C60*5%)</f>
        <v>3115000</v>
      </c>
      <c r="I60" s="142">
        <f>+H60/12</f>
        <v>259583.33333333334</v>
      </c>
      <c r="J60" s="161">
        <f>+H60+(H60*5%)</f>
        <v>3270750</v>
      </c>
      <c r="K60" s="164">
        <f t="shared" si="21"/>
        <v>272562.5</v>
      </c>
      <c r="M60" s="126">
        <f>+H60+(H60*5%)</f>
        <v>3270750</v>
      </c>
      <c r="N60" s="142">
        <f>+M60/12</f>
        <v>272562.5</v>
      </c>
      <c r="O60" s="161">
        <f>+M60+(M60*5%)</f>
        <v>3434287.5</v>
      </c>
      <c r="P60" s="164">
        <f>+O60/12</f>
        <v>286190.625</v>
      </c>
    </row>
    <row r="61" spans="1:16" ht="15" customHeight="1" thickBot="1" x14ac:dyDescent="0.3">
      <c r="A61" s="4"/>
      <c r="B61" s="49"/>
      <c r="C61" s="98"/>
      <c r="D61" s="97"/>
      <c r="E61" s="49"/>
      <c r="F61" s="165"/>
      <c r="H61" s="98"/>
      <c r="I61" s="97"/>
      <c r="J61" s="49"/>
      <c r="K61" s="165"/>
      <c r="M61" s="98"/>
      <c r="N61" s="97"/>
      <c r="O61" s="49"/>
      <c r="P61" s="165"/>
    </row>
    <row r="62" spans="1:16" ht="24" customHeight="1" thickBot="1" x14ac:dyDescent="0.35">
      <c r="A62" s="170" t="s">
        <v>16</v>
      </c>
      <c r="B62" s="171"/>
      <c r="C62" s="172">
        <f>+C27-C37-C47-C56-C58-C59-C60</f>
        <v>44311038.333333351</v>
      </c>
      <c r="D62" s="172">
        <f>+D27-D37-D47-D56-D58-D59-D60</f>
        <v>3642586.5277777789</v>
      </c>
      <c r="E62" s="172">
        <f>+E27-E37-E47-E56-E58-E59-E60</f>
        <v>64971245</v>
      </c>
      <c r="F62" s="173">
        <f>+F27-F37-F47-F56-F58-F59-F60</f>
        <v>5414270.416666667</v>
      </c>
      <c r="H62" s="172">
        <f>+H27-H37-H47-H56-H58-H59-H60</f>
        <v>61528585</v>
      </c>
      <c r="I62" s="172">
        <f>+I27-I37-I47-I56-I58-I59-I60</f>
        <v>5077382.083333333</v>
      </c>
      <c r="J62" s="172">
        <f>+J27-J37-J47-J56-J58-J59-J60</f>
        <v>93847147.5</v>
      </c>
      <c r="K62" s="173">
        <f>+K27-K37-K47-K56-K58-K59-K60</f>
        <v>7820595.625</v>
      </c>
      <c r="M62" s="172">
        <f>+M27-M37-M47-M56-M58-M59-M60</f>
        <v>84112275</v>
      </c>
      <c r="N62" s="172">
        <f>+N27-N37-N47-N56-N58-N59-N60</f>
        <v>6959356.25</v>
      </c>
      <c r="O62" s="172">
        <f>+O27-O37-O47-O56-O58-O59-O60</f>
        <v>121528938.75</v>
      </c>
      <c r="P62" s="173">
        <f>+P27-P37-P47-P56-P58-P59-P60</f>
        <v>10127411.5625</v>
      </c>
    </row>
    <row r="63" spans="1:16" ht="21.75" customHeight="1" thickBot="1" x14ac:dyDescent="0.3">
      <c r="A63" s="5" t="s">
        <v>26</v>
      </c>
      <c r="B63" s="50"/>
      <c r="C63" s="100"/>
      <c r="D63" s="101"/>
      <c r="E63" s="100"/>
      <c r="F63" s="169"/>
      <c r="H63" s="100"/>
      <c r="I63" s="101"/>
      <c r="J63" s="100"/>
      <c r="K63" s="169"/>
      <c r="M63" s="100"/>
      <c r="N63" s="101"/>
      <c r="O63" s="100"/>
      <c r="P63" s="169"/>
    </row>
    <row r="64" spans="1:16" ht="15.75" thickBot="1" x14ac:dyDescent="0.3">
      <c r="A64" s="4"/>
      <c r="B64" s="51"/>
      <c r="C64" s="102"/>
      <c r="D64" s="103"/>
      <c r="E64" s="103"/>
      <c r="F64" s="166"/>
      <c r="H64" s="102"/>
      <c r="I64" s="103"/>
      <c r="J64" s="103"/>
      <c r="K64" s="166"/>
      <c r="M64" s="102"/>
      <c r="N64" s="103"/>
      <c r="O64" s="103"/>
      <c r="P64" s="166"/>
    </row>
    <row r="65" spans="1:16" ht="15.75" thickBot="1" x14ac:dyDescent="0.3">
      <c r="A65" s="4" t="s">
        <v>120</v>
      </c>
      <c r="B65" s="207"/>
      <c r="C65" s="153">
        <f>+C62*B65</f>
        <v>0</v>
      </c>
      <c r="D65" s="153">
        <f>+D62*B65</f>
        <v>0</v>
      </c>
      <c r="E65" s="153">
        <f>+E62*B65</f>
        <v>0</v>
      </c>
      <c r="F65" s="162">
        <f>+F62*B65</f>
        <v>0</v>
      </c>
      <c r="H65" s="153">
        <f>+H62*B65</f>
        <v>0</v>
      </c>
      <c r="I65" s="153">
        <f>+I62*B65</f>
        <v>0</v>
      </c>
      <c r="J65" s="153">
        <f>+J62*B65</f>
        <v>0</v>
      </c>
      <c r="K65" s="162">
        <f>+K62*B65</f>
        <v>0</v>
      </c>
      <c r="M65" s="153">
        <f>+M62*B65</f>
        <v>0</v>
      </c>
      <c r="N65" s="153">
        <f>+N62*B65</f>
        <v>0</v>
      </c>
      <c r="O65" s="153">
        <f>+O62*B65</f>
        <v>0</v>
      </c>
      <c r="P65" s="162">
        <f>+P62*B65</f>
        <v>0</v>
      </c>
    </row>
    <row r="66" spans="1:16" ht="25.5" customHeight="1" thickBot="1" x14ac:dyDescent="0.3">
      <c r="A66" s="12" t="s">
        <v>27</v>
      </c>
      <c r="B66" s="206"/>
      <c r="C66" s="95">
        <f>C62-C64-C65</f>
        <v>44311038.333333351</v>
      </c>
      <c r="D66" s="95">
        <f>D62-D64-D65</f>
        <v>3642586.5277777789</v>
      </c>
      <c r="E66" s="94">
        <f>E62-E64-E65</f>
        <v>64971245</v>
      </c>
      <c r="F66" s="95">
        <f>F62-F64-F65</f>
        <v>5414270.416666667</v>
      </c>
      <c r="H66" s="95">
        <f>H62-H64-H65</f>
        <v>61528585</v>
      </c>
      <c r="I66" s="95">
        <f>I62-I64-I65</f>
        <v>5077382.083333333</v>
      </c>
      <c r="J66" s="94">
        <f>J62-J64-J65</f>
        <v>93847147.5</v>
      </c>
      <c r="K66" s="95">
        <f>K62-K64-K65</f>
        <v>7820595.625</v>
      </c>
      <c r="M66" s="95">
        <f>M62-M64-M65</f>
        <v>84112275</v>
      </c>
      <c r="N66" s="95">
        <f>N62-N64-N65</f>
        <v>6959356.25</v>
      </c>
      <c r="O66" s="94">
        <f>O62-O64-O65</f>
        <v>121528938.75</v>
      </c>
      <c r="P66" s="95">
        <f>P62-P64-P65</f>
        <v>10127411.5625</v>
      </c>
    </row>
    <row r="68" spans="1:16" ht="15.75" thickBot="1" x14ac:dyDescent="0.3"/>
    <row r="69" spans="1:16" ht="24" customHeight="1" thickBot="1" x14ac:dyDescent="0.3">
      <c r="A69" s="128" t="s">
        <v>17</v>
      </c>
      <c r="B69" s="134"/>
      <c r="C69" s="134"/>
      <c r="D69" s="134"/>
      <c r="E69" s="134"/>
      <c r="F69" s="134"/>
    </row>
    <row r="70" spans="1:16" ht="21" customHeight="1" thickBot="1" x14ac:dyDescent="0.3">
      <c r="A70" s="37" t="s">
        <v>18</v>
      </c>
      <c r="B70" s="38" t="s">
        <v>19</v>
      </c>
      <c r="C70" s="38" t="s">
        <v>20</v>
      </c>
      <c r="D70" s="143" t="s">
        <v>101</v>
      </c>
      <c r="E70" s="143" t="s">
        <v>102</v>
      </c>
      <c r="F70" s="143" t="s">
        <v>103</v>
      </c>
    </row>
    <row r="71" spans="1:16" ht="22.5" customHeight="1" x14ac:dyDescent="0.25">
      <c r="A71" s="110" t="s">
        <v>29</v>
      </c>
      <c r="B71" s="24">
        <v>2</v>
      </c>
      <c r="C71" s="30">
        <v>3000000</v>
      </c>
      <c r="D71" s="25"/>
      <c r="E71" s="25"/>
      <c r="F71" s="25"/>
    </row>
    <row r="72" spans="1:16" ht="22.5" customHeight="1" x14ac:dyDescent="0.25">
      <c r="A72" s="111" t="s">
        <v>62</v>
      </c>
      <c r="B72" s="26">
        <v>2</v>
      </c>
      <c r="C72" s="17">
        <v>3000000</v>
      </c>
      <c r="D72" s="27"/>
      <c r="E72" s="27"/>
      <c r="F72" s="27"/>
    </row>
    <row r="73" spans="1:16" ht="22.5" customHeight="1" x14ac:dyDescent="0.25">
      <c r="A73" s="111" t="s">
        <v>63</v>
      </c>
      <c r="B73" s="26">
        <v>3</v>
      </c>
      <c r="C73" s="17">
        <v>2500000</v>
      </c>
      <c r="D73" s="27"/>
      <c r="E73" s="27"/>
      <c r="F73" s="27"/>
    </row>
    <row r="74" spans="1:16" ht="22.5" customHeight="1" x14ac:dyDescent="0.25">
      <c r="A74" s="111" t="s">
        <v>64</v>
      </c>
      <c r="B74" s="26">
        <v>1</v>
      </c>
      <c r="C74" s="17">
        <v>2000000</v>
      </c>
      <c r="D74" s="27"/>
      <c r="E74" s="27"/>
      <c r="F74" s="27"/>
    </row>
    <row r="75" spans="1:16" ht="22.5" customHeight="1" x14ac:dyDescent="0.25">
      <c r="A75" s="111" t="s">
        <v>99</v>
      </c>
      <c r="B75" s="26">
        <v>2</v>
      </c>
      <c r="C75" s="17">
        <v>2000000</v>
      </c>
      <c r="D75" s="27"/>
      <c r="E75" s="27"/>
      <c r="F75" s="27"/>
    </row>
    <row r="76" spans="1:16" ht="22.5" customHeight="1" x14ac:dyDescent="0.25">
      <c r="A76" s="111" t="s">
        <v>68</v>
      </c>
      <c r="B76" s="26">
        <v>2</v>
      </c>
      <c r="C76" s="17">
        <v>2000000</v>
      </c>
      <c r="D76" s="27"/>
      <c r="E76" s="27"/>
      <c r="F76" s="27"/>
    </row>
    <row r="77" spans="1:16" ht="15" customHeight="1" x14ac:dyDescent="0.25">
      <c r="A77" s="63" t="s">
        <v>21</v>
      </c>
      <c r="B77" s="28">
        <v>1</v>
      </c>
      <c r="C77" s="19">
        <v>4800000</v>
      </c>
      <c r="D77" s="144">
        <f>+B77*C77</f>
        <v>4800000</v>
      </c>
      <c r="E77" s="146">
        <f>$F$101</f>
        <v>0.51851999999999998</v>
      </c>
      <c r="F77" s="145">
        <f>+D77*(1+E77)</f>
        <v>7288896</v>
      </c>
    </row>
    <row r="78" spans="1:16" ht="15" customHeight="1" x14ac:dyDescent="0.25">
      <c r="A78" s="63" t="s">
        <v>67</v>
      </c>
      <c r="B78" s="28">
        <v>1</v>
      </c>
      <c r="C78" s="19">
        <v>3500000</v>
      </c>
      <c r="D78" s="144">
        <f t="shared" ref="D78" si="22">+B78*C78</f>
        <v>3500000</v>
      </c>
      <c r="E78" s="146">
        <f>$F$101</f>
        <v>0.51851999999999998</v>
      </c>
      <c r="F78" s="145">
        <f t="shared" ref="F78" si="23">+D78*(1+E78)</f>
        <v>5314820</v>
      </c>
    </row>
    <row r="79" spans="1:16" ht="15" customHeight="1" x14ac:dyDescent="0.25">
      <c r="A79" s="63" t="s">
        <v>22</v>
      </c>
      <c r="B79" s="28">
        <v>1</v>
      </c>
      <c r="C79" s="19">
        <v>2200000</v>
      </c>
      <c r="D79" s="144">
        <f>+B79*C79</f>
        <v>2200000</v>
      </c>
      <c r="E79" s="146">
        <f>$F$101</f>
        <v>0.51851999999999998</v>
      </c>
      <c r="F79" s="145">
        <f>+D79*(1+E79)</f>
        <v>3340744</v>
      </c>
    </row>
    <row r="80" spans="1:16" x14ac:dyDescent="0.25">
      <c r="A80" s="63" t="s">
        <v>23</v>
      </c>
      <c r="B80" s="28">
        <v>4</v>
      </c>
      <c r="C80" s="19">
        <v>2000000</v>
      </c>
      <c r="D80" s="144">
        <f>+B80*C80</f>
        <v>8000000</v>
      </c>
      <c r="E80" s="146">
        <f>$F$101</f>
        <v>0.51851999999999998</v>
      </c>
      <c r="F80" s="145">
        <f>+D80*(1+E80)</f>
        <v>12148160</v>
      </c>
    </row>
    <row r="81" spans="1:6" x14ac:dyDescent="0.25">
      <c r="A81" s="63" t="s">
        <v>24</v>
      </c>
      <c r="B81" s="28">
        <v>1</v>
      </c>
      <c r="C81" s="19">
        <v>2000000</v>
      </c>
      <c r="D81" s="144">
        <f>+B81*C81</f>
        <v>2000000</v>
      </c>
      <c r="E81" s="146">
        <f>$F$101</f>
        <v>0.51851999999999998</v>
      </c>
      <c r="F81" s="145">
        <f>+D81*(1+E81)</f>
        <v>3037040</v>
      </c>
    </row>
    <row r="82" spans="1:6" x14ac:dyDescent="0.25">
      <c r="A82" s="63" t="s">
        <v>65</v>
      </c>
      <c r="B82" s="28">
        <v>1</v>
      </c>
      <c r="C82" s="19">
        <v>2000000</v>
      </c>
      <c r="D82" s="144">
        <f>+B82*C82</f>
        <v>2000000</v>
      </c>
      <c r="E82" s="146">
        <f>$F$101</f>
        <v>0.51851999999999998</v>
      </c>
      <c r="F82" s="145">
        <f>+D82*(1+E82)</f>
        <v>3037040</v>
      </c>
    </row>
    <row r="83" spans="1:6" x14ac:dyDescent="0.25">
      <c r="A83" s="63" t="s">
        <v>66</v>
      </c>
      <c r="B83" s="28">
        <v>1</v>
      </c>
      <c r="C83" s="19">
        <v>2000000</v>
      </c>
      <c r="D83" s="144">
        <f>+B83*C83</f>
        <v>2000000</v>
      </c>
      <c r="E83" s="146">
        <f>$F$101</f>
        <v>0.51851999999999998</v>
      </c>
      <c r="F83" s="145">
        <f>+D83*(1+E83)</f>
        <v>3037040</v>
      </c>
    </row>
    <row r="84" spans="1:6" ht="15.75" thickBot="1" x14ac:dyDescent="0.3">
      <c r="A84" s="64" t="s">
        <v>28</v>
      </c>
      <c r="B84" s="29">
        <v>2</v>
      </c>
      <c r="C84" s="20">
        <v>2000000</v>
      </c>
      <c r="D84" s="144">
        <f>+B84*C84</f>
        <v>4000000</v>
      </c>
      <c r="E84" s="146">
        <f>$F$101</f>
        <v>0.51851999999999998</v>
      </c>
      <c r="F84" s="145">
        <f>+D84*(1+E84)</f>
        <v>6074080</v>
      </c>
    </row>
    <row r="85" spans="1:6" ht="15.75" thickBot="1" x14ac:dyDescent="0.3">
      <c r="A85" s="109" t="s">
        <v>25</v>
      </c>
      <c r="B85" s="34">
        <f>SUM(B77:B84)</f>
        <v>12</v>
      </c>
      <c r="C85" s="31"/>
      <c r="D85" s="150">
        <f>SUM(D77:D84)</f>
        <v>28500000</v>
      </c>
      <c r="E85" s="150"/>
      <c r="F85" s="151">
        <f>SUM(F77:F84)</f>
        <v>43277820</v>
      </c>
    </row>
    <row r="86" spans="1:6" x14ac:dyDescent="0.25">
      <c r="A86" s="147"/>
      <c r="B86" s="148"/>
      <c r="C86" s="147"/>
      <c r="D86" s="149"/>
      <c r="E86" s="149"/>
      <c r="F86" s="149"/>
    </row>
    <row r="87" spans="1:6" ht="15.75" thickBot="1" x14ac:dyDescent="0.3">
      <c r="C87" s="147"/>
      <c r="D87" s="149"/>
      <c r="E87" s="149"/>
      <c r="F87" s="149"/>
    </row>
    <row r="88" spans="1:6" ht="15.75" thickBot="1" x14ac:dyDescent="0.3">
      <c r="D88" s="177" t="s">
        <v>104</v>
      </c>
      <c r="E88" s="178"/>
      <c r="F88" s="179"/>
    </row>
    <row r="89" spans="1:6" ht="20.25" customHeight="1" thickBot="1" x14ac:dyDescent="0.3">
      <c r="A89" s="128" t="s">
        <v>49</v>
      </c>
      <c r="B89" s="129"/>
      <c r="D89" s="180"/>
      <c r="E89" s="174"/>
      <c r="F89" s="181"/>
    </row>
    <row r="90" spans="1:6" ht="19.5" thickBot="1" x14ac:dyDescent="0.35">
      <c r="A90" s="39" t="s">
        <v>36</v>
      </c>
      <c r="B90" s="36" t="s">
        <v>50</v>
      </c>
      <c r="D90" s="175" t="s">
        <v>36</v>
      </c>
      <c r="E90" s="176"/>
      <c r="F90" s="152" t="s">
        <v>105</v>
      </c>
    </row>
    <row r="91" spans="1:6" x14ac:dyDescent="0.25">
      <c r="A91" s="16"/>
      <c r="B91" s="18"/>
      <c r="D91" s="191" t="s">
        <v>106</v>
      </c>
      <c r="E91" s="192"/>
      <c r="F91" s="182">
        <v>0.12</v>
      </c>
    </row>
    <row r="92" spans="1:6" x14ac:dyDescent="0.25">
      <c r="A92" s="13" t="s">
        <v>51</v>
      </c>
      <c r="B92" s="19">
        <v>900000</v>
      </c>
      <c r="D92" s="193" t="s">
        <v>107</v>
      </c>
      <c r="E92" s="194"/>
      <c r="F92" s="183">
        <v>5.2199999999999998E-3</v>
      </c>
    </row>
    <row r="93" spans="1:6" x14ac:dyDescent="0.25">
      <c r="A93" s="13" t="s">
        <v>52</v>
      </c>
      <c r="B93" s="19">
        <v>400000</v>
      </c>
      <c r="D93" s="193" t="s">
        <v>108</v>
      </c>
      <c r="E93" s="194"/>
      <c r="F93" s="183">
        <v>0.04</v>
      </c>
    </row>
    <row r="94" spans="1:6" x14ac:dyDescent="0.25">
      <c r="A94" s="13" t="s">
        <v>53</v>
      </c>
      <c r="B94" s="19">
        <v>1500000</v>
      </c>
      <c r="D94" s="193" t="s">
        <v>109</v>
      </c>
      <c r="E94" s="194"/>
      <c r="F94" s="183">
        <v>8.5000000000000006E-2</v>
      </c>
    </row>
    <row r="95" spans="1:6" x14ac:dyDescent="0.25">
      <c r="A95" s="13" t="s">
        <v>54</v>
      </c>
      <c r="B95" s="19">
        <v>1500000</v>
      </c>
      <c r="D95" s="193" t="s">
        <v>110</v>
      </c>
      <c r="E95" s="194"/>
      <c r="F95" s="183">
        <v>0.03</v>
      </c>
    </row>
    <row r="96" spans="1:6" x14ac:dyDescent="0.25">
      <c r="A96" s="13" t="s">
        <v>61</v>
      </c>
      <c r="B96" s="19">
        <v>400000</v>
      </c>
      <c r="D96" s="193" t="s">
        <v>111</v>
      </c>
      <c r="E96" s="194"/>
      <c r="F96" s="183">
        <v>0.02</v>
      </c>
    </row>
    <row r="97" spans="1:6" x14ac:dyDescent="0.25">
      <c r="A97" s="13" t="s">
        <v>55</v>
      </c>
      <c r="B97" s="19">
        <v>2000000</v>
      </c>
      <c r="D97" s="193" t="s">
        <v>112</v>
      </c>
      <c r="E97" s="194"/>
      <c r="F97" s="183">
        <v>8.3299999999999999E-2</v>
      </c>
    </row>
    <row r="98" spans="1:6" x14ac:dyDescent="0.25">
      <c r="A98" s="6" t="s">
        <v>69</v>
      </c>
      <c r="B98" s="19">
        <v>20000000</v>
      </c>
      <c r="D98" s="193" t="s">
        <v>113</v>
      </c>
      <c r="E98" s="194"/>
      <c r="F98" s="183">
        <v>0.01</v>
      </c>
    </row>
    <row r="99" spans="1:6" ht="15.75" thickBot="1" x14ac:dyDescent="0.3">
      <c r="A99" s="13"/>
      <c r="B99" s="20"/>
      <c r="D99" s="193" t="s">
        <v>114</v>
      </c>
      <c r="E99" s="194"/>
      <c r="F99" s="183">
        <v>8.3299999999999999E-2</v>
      </c>
    </row>
    <row r="100" spans="1:6" ht="15.75" thickBot="1" x14ac:dyDescent="0.3">
      <c r="A100" s="14" t="s">
        <v>56</v>
      </c>
      <c r="B100" s="15">
        <f>SUM(B91:B99)</f>
        <v>26700000</v>
      </c>
      <c r="D100" s="195" t="s">
        <v>115</v>
      </c>
      <c r="E100" s="196"/>
      <c r="F100" s="184">
        <v>4.1700000000000001E-2</v>
      </c>
    </row>
    <row r="101" spans="1:6" x14ac:dyDescent="0.25">
      <c r="D101" s="185" t="s">
        <v>116</v>
      </c>
      <c r="E101" s="186"/>
      <c r="F101" s="189">
        <f>SUM(F91:F100)</f>
        <v>0.51851999999999998</v>
      </c>
    </row>
    <row r="102" spans="1:6" ht="15.75" thickBot="1" x14ac:dyDescent="0.3">
      <c r="D102" s="187"/>
      <c r="E102" s="188"/>
      <c r="F102" s="190"/>
    </row>
  </sheetData>
  <mergeCells count="34">
    <mergeCell ref="D90:E90"/>
    <mergeCell ref="D101:E102"/>
    <mergeCell ref="F101:F102"/>
    <mergeCell ref="M16:P16"/>
    <mergeCell ref="M17:P17"/>
    <mergeCell ref="M18:N18"/>
    <mergeCell ref="O18:P18"/>
    <mergeCell ref="D96:E96"/>
    <mergeCell ref="D97:E97"/>
    <mergeCell ref="D98:E98"/>
    <mergeCell ref="D99:E99"/>
    <mergeCell ref="D100:E100"/>
    <mergeCell ref="D91:E91"/>
    <mergeCell ref="D92:E92"/>
    <mergeCell ref="D93:E93"/>
    <mergeCell ref="D94:E94"/>
    <mergeCell ref="D95:E95"/>
    <mergeCell ref="H16:K16"/>
    <mergeCell ref="H17:K17"/>
    <mergeCell ref="H18:I18"/>
    <mergeCell ref="J18:K18"/>
    <mergeCell ref="D88:F89"/>
    <mergeCell ref="A89:B89"/>
    <mergeCell ref="A1:F1"/>
    <mergeCell ref="A2:F2"/>
    <mergeCell ref="A3:F3"/>
    <mergeCell ref="C16:F16"/>
    <mergeCell ref="A5:B5"/>
    <mergeCell ref="A69:F69"/>
    <mergeCell ref="B16:B17"/>
    <mergeCell ref="A16:A17"/>
    <mergeCell ref="C17:F17"/>
    <mergeCell ref="C18:D18"/>
    <mergeCell ref="E18:F18"/>
  </mergeCells>
  <phoneticPr fontId="27" type="noConversion"/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DE56-2E6D-4691-AD25-1B9DB7E38E1B}">
  <dimension ref="A1:A20"/>
  <sheetViews>
    <sheetView topLeftCell="A2" workbookViewId="0">
      <selection activeCell="I8" sqref="I8"/>
    </sheetView>
  </sheetViews>
  <sheetFormatPr baseColWidth="10"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4" sqref="G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HERITAGE </vt:lpstr>
      <vt:lpstr>Hoja1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GehSuites</dc:creator>
  <cp:lastModifiedBy>GehSuites</cp:lastModifiedBy>
  <dcterms:created xsi:type="dcterms:W3CDTF">2026-01-29T19:06:39Z</dcterms:created>
  <dcterms:modified xsi:type="dcterms:W3CDTF">2026-07-15T16:34:51Z</dcterms:modified>
</cp:coreProperties>
</file>