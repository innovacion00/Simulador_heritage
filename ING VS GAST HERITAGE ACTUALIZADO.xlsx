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hSuites\Desktop\"/>
    </mc:Choice>
  </mc:AlternateContent>
  <xr:revisionPtr revIDLastSave="0" documentId="13_ncr:1_{1E9B2D3C-876C-4C8F-9218-E99A32B1C4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ERITAGE " sheetId="5" r:id="rId1"/>
    <sheet name="FARA Inv. Virtual" sheetId="10" r:id="rId2"/>
    <sheet name="Dashboard BI" sheetId="14" r:id="rId3"/>
    <sheet name="Reparto por Pool" sheetId="12" r:id="rId4"/>
    <sheet name="Hoja1" sheetId="9" r:id="rId5"/>
    <sheet name="Hoja2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2" i="5" l="1"/>
  <c r="G52" i="5" s="1"/>
  <c r="H52" i="5" s="1"/>
  <c r="B25" i="14" s="1"/>
  <c r="I52" i="5"/>
  <c r="J52" i="5" s="1"/>
  <c r="K52" i="5" s="1"/>
  <c r="F61" i="5"/>
  <c r="G61" i="5" s="1"/>
  <c r="H61" i="5" s="1"/>
  <c r="I61" i="5"/>
  <c r="J61" i="5" s="1"/>
  <c r="K61" i="5" s="1"/>
  <c r="F18" i="5"/>
  <c r="G18" i="5" s="1"/>
  <c r="H18" i="5" s="1"/>
  <c r="F17" i="5"/>
  <c r="G17" i="5" s="1"/>
  <c r="H17" i="5" s="1"/>
  <c r="C41" i="5"/>
  <c r="D41" i="5" s="1"/>
  <c r="E41" i="5" s="1"/>
  <c r="F41" i="5"/>
  <c r="G41" i="5"/>
  <c r="H41" i="5" s="1"/>
  <c r="I41" i="5"/>
  <c r="J41" i="5"/>
  <c r="K41" i="5" s="1"/>
  <c r="C42" i="5"/>
  <c r="D42" i="5"/>
  <c r="E42" i="5" s="1"/>
  <c r="F42" i="5"/>
  <c r="G42" i="5" s="1"/>
  <c r="H42" i="5" s="1"/>
  <c r="I42" i="5"/>
  <c r="J42" i="5" s="1"/>
  <c r="K42" i="5" s="1"/>
  <c r="C43" i="5"/>
  <c r="D43" i="5" s="1"/>
  <c r="E43" i="5" s="1"/>
  <c r="F43" i="5"/>
  <c r="G43" i="5" s="1"/>
  <c r="H43" i="5" s="1"/>
  <c r="I43" i="5"/>
  <c r="J43" i="5" s="1"/>
  <c r="K43" i="5" s="1"/>
  <c r="C44" i="5"/>
  <c r="D44" i="5" s="1"/>
  <c r="E44" i="5" s="1"/>
  <c r="F44" i="5"/>
  <c r="G44" i="5" s="1"/>
  <c r="H44" i="5" s="1"/>
  <c r="I44" i="5"/>
  <c r="J44" i="5" s="1"/>
  <c r="K44" i="5" s="1"/>
  <c r="C45" i="5"/>
  <c r="D45" i="5" s="1"/>
  <c r="E45" i="5" s="1"/>
  <c r="F45" i="5"/>
  <c r="G45" i="5" s="1"/>
  <c r="H45" i="5" s="1"/>
  <c r="I45" i="5"/>
  <c r="J45" i="5"/>
  <c r="K45" i="5" s="1"/>
  <c r="D95" i="5"/>
  <c r="D94" i="5"/>
  <c r="F60" i="5"/>
  <c r="C61" i="5"/>
  <c r="C60" i="5"/>
  <c r="D60" i="5" s="1"/>
  <c r="D93" i="5"/>
  <c r="D92" i="5"/>
  <c r="D84" i="5"/>
  <c r="D91" i="5"/>
  <c r="D90" i="5"/>
  <c r="B97" i="5"/>
  <c r="C12" i="12"/>
  <c r="B12" i="12"/>
  <c r="B53" i="5"/>
  <c r="F53" i="5" s="1"/>
  <c r="G53" i="5" s="1"/>
  <c r="H53" i="5" s="1"/>
  <c r="B26" i="14" s="1"/>
  <c r="B64" i="5"/>
  <c r="I64" i="5" s="1"/>
  <c r="J64" i="5" s="1"/>
  <c r="K64" i="5" s="1"/>
  <c r="K20" i="5"/>
  <c r="J20" i="5"/>
  <c r="I20" i="5"/>
  <c r="H20" i="5"/>
  <c r="G20" i="5"/>
  <c r="F20" i="5"/>
  <c r="E20" i="5"/>
  <c r="D20" i="5"/>
  <c r="C20" i="5"/>
  <c r="C25" i="5" s="1"/>
  <c r="D18" i="5"/>
  <c r="E18" i="5" s="1"/>
  <c r="B131" i="5"/>
  <c r="B58" i="5" s="1"/>
  <c r="I58" i="5" s="1"/>
  <c r="J58" i="5" s="1"/>
  <c r="K58" i="5" s="1"/>
  <c r="I55" i="5"/>
  <c r="F55" i="5"/>
  <c r="C55" i="5"/>
  <c r="I56" i="5"/>
  <c r="J56" i="5" s="1"/>
  <c r="K56" i="5" s="1"/>
  <c r="F56" i="5"/>
  <c r="G56" i="5" s="1"/>
  <c r="H56" i="5" s="1"/>
  <c r="C56" i="5"/>
  <c r="D56" i="5" s="1"/>
  <c r="E56" i="5" s="1"/>
  <c r="I54" i="5"/>
  <c r="J54" i="5" s="1"/>
  <c r="K54" i="5" s="1"/>
  <c r="F54" i="5"/>
  <c r="G54" i="5" s="1"/>
  <c r="H54" i="5" s="1"/>
  <c r="C54" i="5"/>
  <c r="D54" i="5" s="1"/>
  <c r="E54" i="5" s="1"/>
  <c r="D96" i="5"/>
  <c r="D89" i="5"/>
  <c r="D88" i="5"/>
  <c r="D87" i="5"/>
  <c r="D86" i="5"/>
  <c r="D85" i="5"/>
  <c r="D83" i="5"/>
  <c r="I60" i="5"/>
  <c r="J60" i="5" s="1"/>
  <c r="K60" i="5" s="1"/>
  <c r="K59" i="5" s="1"/>
  <c r="I50" i="5"/>
  <c r="J50" i="5" s="1"/>
  <c r="K50" i="5" s="1"/>
  <c r="I49" i="5"/>
  <c r="J49" i="5" s="1"/>
  <c r="K49" i="5" s="1"/>
  <c r="I48" i="5"/>
  <c r="I47" i="5"/>
  <c r="J47" i="5" s="1"/>
  <c r="I40" i="5"/>
  <c r="J40" i="5" s="1"/>
  <c r="K40" i="5" s="1"/>
  <c r="I39" i="5"/>
  <c r="J39" i="5" s="1"/>
  <c r="K39" i="5" s="1"/>
  <c r="I38" i="5"/>
  <c r="J38" i="5" s="1"/>
  <c r="I35" i="5"/>
  <c r="J35" i="5" s="1"/>
  <c r="K35" i="5" s="1"/>
  <c r="I34" i="5"/>
  <c r="J34" i="5" s="1"/>
  <c r="K34" i="5" s="1"/>
  <c r="I33" i="5"/>
  <c r="J33" i="5" s="1"/>
  <c r="K33" i="5" s="1"/>
  <c r="I32" i="5"/>
  <c r="J32" i="5" s="1"/>
  <c r="G60" i="5"/>
  <c r="H60" i="5" s="1"/>
  <c r="F50" i="5"/>
  <c r="G50" i="5" s="1"/>
  <c r="H50" i="5" s="1"/>
  <c r="F49" i="5"/>
  <c r="G49" i="5" s="1"/>
  <c r="H49" i="5" s="1"/>
  <c r="F48" i="5"/>
  <c r="G48" i="5" s="1"/>
  <c r="H48" i="5" s="1"/>
  <c r="F47" i="5"/>
  <c r="F40" i="5"/>
  <c r="G40" i="5" s="1"/>
  <c r="H40" i="5" s="1"/>
  <c r="F39" i="5"/>
  <c r="F38" i="5"/>
  <c r="G38" i="5" s="1"/>
  <c r="H38" i="5" s="1"/>
  <c r="F35" i="5"/>
  <c r="G35" i="5" s="1"/>
  <c r="H35" i="5" s="1"/>
  <c r="F34" i="5"/>
  <c r="G34" i="5" s="1"/>
  <c r="H34" i="5" s="1"/>
  <c r="F33" i="5"/>
  <c r="G33" i="5" s="1"/>
  <c r="H33" i="5" s="1"/>
  <c r="F32" i="5"/>
  <c r="G32" i="5" s="1"/>
  <c r="C50" i="5"/>
  <c r="D50" i="5" s="1"/>
  <c r="E50" i="5" s="1"/>
  <c r="C49" i="5"/>
  <c r="D49" i="5" s="1"/>
  <c r="E49" i="5" s="1"/>
  <c r="C48" i="5"/>
  <c r="D48" i="5" s="1"/>
  <c r="E48" i="5" s="1"/>
  <c r="C47" i="5"/>
  <c r="D47" i="5" s="1"/>
  <c r="E47" i="5" s="1"/>
  <c r="C40" i="5"/>
  <c r="D40" i="5" s="1"/>
  <c r="E40" i="5" s="1"/>
  <c r="C39" i="5"/>
  <c r="D39" i="5" s="1"/>
  <c r="E39" i="5" s="1"/>
  <c r="C38" i="5"/>
  <c r="C35" i="5"/>
  <c r="D35" i="5" s="1"/>
  <c r="E35" i="5" s="1"/>
  <c r="C34" i="5"/>
  <c r="C33" i="5"/>
  <c r="D33" i="5" s="1"/>
  <c r="E33" i="5" s="1"/>
  <c r="C32" i="5"/>
  <c r="D32" i="5" s="1"/>
  <c r="E32" i="5" s="1"/>
  <c r="K19" i="5"/>
  <c r="J19" i="5"/>
  <c r="I19" i="5"/>
  <c r="H19" i="5"/>
  <c r="G19" i="5"/>
  <c r="F19" i="5"/>
  <c r="E19" i="5"/>
  <c r="D19" i="5"/>
  <c r="C19" i="5"/>
  <c r="D17" i="5"/>
  <c r="E17" i="5" s="1"/>
  <c r="F59" i="5" l="1"/>
  <c r="C59" i="5"/>
  <c r="J59" i="5"/>
  <c r="H59" i="5"/>
  <c r="I17" i="5"/>
  <c r="J17" i="5" s="1"/>
  <c r="K17" i="5" s="1"/>
  <c r="I18" i="5"/>
  <c r="J18" i="5" s="1"/>
  <c r="K18" i="5" s="1"/>
  <c r="D61" i="5"/>
  <c r="E61" i="5" s="1"/>
  <c r="I59" i="5"/>
  <c r="G59" i="5"/>
  <c r="F25" i="5"/>
  <c r="D25" i="5"/>
  <c r="K25" i="5"/>
  <c r="E25" i="5"/>
  <c r="G25" i="5"/>
  <c r="H25" i="5"/>
  <c r="C7" i="12" s="1"/>
  <c r="D12" i="12"/>
  <c r="C64" i="5"/>
  <c r="D64" i="5" s="1"/>
  <c r="E64" i="5" s="1"/>
  <c r="F64" i="5"/>
  <c r="G64" i="5" s="1"/>
  <c r="H64" i="5" s="1"/>
  <c r="C37" i="5"/>
  <c r="C58" i="5"/>
  <c r="D58" i="5" s="1"/>
  <c r="E58" i="5" s="1"/>
  <c r="F58" i="5"/>
  <c r="G58" i="5" s="1"/>
  <c r="H58" i="5" s="1"/>
  <c r="B30" i="14" s="1"/>
  <c r="J55" i="5"/>
  <c r="G55" i="5"/>
  <c r="D55" i="5"/>
  <c r="I53" i="5"/>
  <c r="J53" i="5" s="1"/>
  <c r="K53" i="5" s="1"/>
  <c r="D97" i="5"/>
  <c r="B29" i="5" s="1"/>
  <c r="F29" i="5" s="1"/>
  <c r="F30" i="5" s="1"/>
  <c r="C53" i="5"/>
  <c r="D53" i="5" s="1"/>
  <c r="E53" i="5" s="1"/>
  <c r="C24" i="5"/>
  <c r="C26" i="5" s="1"/>
  <c r="D24" i="5"/>
  <c r="F24" i="5"/>
  <c r="J24" i="5"/>
  <c r="K24" i="5"/>
  <c r="H24" i="5"/>
  <c r="E24" i="5"/>
  <c r="G24" i="5"/>
  <c r="C31" i="5"/>
  <c r="I46" i="5"/>
  <c r="F46" i="5"/>
  <c r="J48" i="5"/>
  <c r="K48" i="5" s="1"/>
  <c r="D38" i="5"/>
  <c r="E38" i="5" s="1"/>
  <c r="E37" i="5" s="1"/>
  <c r="F37" i="5"/>
  <c r="D34" i="5"/>
  <c r="E34" i="5" s="1"/>
  <c r="E31" i="5" s="1"/>
  <c r="I37" i="5"/>
  <c r="E60" i="5"/>
  <c r="I31" i="5"/>
  <c r="K38" i="5"/>
  <c r="K37" i="5" s="1"/>
  <c r="J37" i="5"/>
  <c r="K32" i="5"/>
  <c r="K31" i="5" s="1"/>
  <c r="J31" i="5"/>
  <c r="K47" i="5"/>
  <c r="H32" i="5"/>
  <c r="H31" i="5" s="1"/>
  <c r="B21" i="14" s="1"/>
  <c r="G31" i="5"/>
  <c r="B27" i="14"/>
  <c r="G39" i="5"/>
  <c r="G47" i="5"/>
  <c r="F31" i="5"/>
  <c r="E46" i="5"/>
  <c r="D46" i="5"/>
  <c r="C46" i="5"/>
  <c r="J25" i="5" l="1"/>
  <c r="E59" i="5"/>
  <c r="I25" i="5"/>
  <c r="D59" i="5"/>
  <c r="I24" i="5"/>
  <c r="E26" i="5"/>
  <c r="B6" i="14" s="1"/>
  <c r="K55" i="5"/>
  <c r="K26" i="5"/>
  <c r="B8" i="14" s="1"/>
  <c r="J26" i="5"/>
  <c r="J51" i="5" s="1"/>
  <c r="F26" i="5"/>
  <c r="F63" i="5" s="1"/>
  <c r="D26" i="5"/>
  <c r="D63" i="5" s="1"/>
  <c r="I26" i="5"/>
  <c r="I62" i="5" s="1"/>
  <c r="G26" i="5"/>
  <c r="G62" i="5" s="1"/>
  <c r="H26" i="5"/>
  <c r="B7" i="12"/>
  <c r="H55" i="5"/>
  <c r="E55" i="5"/>
  <c r="C57" i="5"/>
  <c r="C51" i="5"/>
  <c r="C62" i="5"/>
  <c r="C63" i="5"/>
  <c r="E63" i="5"/>
  <c r="K46" i="5"/>
  <c r="J46" i="5"/>
  <c r="C29" i="5"/>
  <c r="C30" i="5" s="1"/>
  <c r="I29" i="5"/>
  <c r="D31" i="5"/>
  <c r="D37" i="5"/>
  <c r="G29" i="5"/>
  <c r="G30" i="5" s="1"/>
  <c r="G46" i="5"/>
  <c r="H47" i="5"/>
  <c r="H46" i="5" s="1"/>
  <c r="B23" i="14" s="1"/>
  <c r="H39" i="5"/>
  <c r="H37" i="5" s="1"/>
  <c r="B22" i="14" s="1"/>
  <c r="G37" i="5"/>
  <c r="C65" i="5" l="1"/>
  <c r="E57" i="5"/>
  <c r="B109" i="5"/>
  <c r="E62" i="5"/>
  <c r="E51" i="5"/>
  <c r="I30" i="5"/>
  <c r="B28" i="14"/>
  <c r="F62" i="5"/>
  <c r="C67" i="5"/>
  <c r="K51" i="5"/>
  <c r="K62" i="5"/>
  <c r="K63" i="5"/>
  <c r="K57" i="5"/>
  <c r="D33" i="10" s="1"/>
  <c r="E33" i="10" s="1"/>
  <c r="F33" i="10" s="1"/>
  <c r="B111" i="5"/>
  <c r="J63" i="5"/>
  <c r="J57" i="5"/>
  <c r="C33" i="10" s="1"/>
  <c r="D7" i="12"/>
  <c r="C8" i="12" s="1"/>
  <c r="B7" i="14"/>
  <c r="H51" i="5"/>
  <c r="G57" i="5"/>
  <c r="C23" i="10" s="1"/>
  <c r="G63" i="5"/>
  <c r="I51" i="5"/>
  <c r="I57" i="5"/>
  <c r="I63" i="5"/>
  <c r="D62" i="5"/>
  <c r="F57" i="5"/>
  <c r="B23" i="10" s="1"/>
  <c r="J62" i="5"/>
  <c r="H62" i="5"/>
  <c r="B31" i="14" s="1"/>
  <c r="B110" i="5"/>
  <c r="F51" i="5"/>
  <c r="D51" i="5"/>
  <c r="H57" i="5"/>
  <c r="D57" i="5"/>
  <c r="C13" i="10" s="1"/>
  <c r="G51" i="5"/>
  <c r="H63" i="5"/>
  <c r="B32" i="14" s="1"/>
  <c r="B13" i="10"/>
  <c r="D13" i="10"/>
  <c r="E13" i="10" s="1"/>
  <c r="F13" i="10" s="1"/>
  <c r="J29" i="5"/>
  <c r="D29" i="5"/>
  <c r="H29" i="5"/>
  <c r="I65" i="5" l="1"/>
  <c r="I67" i="5" s="1"/>
  <c r="I68" i="5" s="1"/>
  <c r="B24" i="14"/>
  <c r="F65" i="5"/>
  <c r="F67" i="5" s="1"/>
  <c r="F70" i="5" s="1"/>
  <c r="F71" i="5" s="1"/>
  <c r="C13" i="14" s="1"/>
  <c r="G65" i="5"/>
  <c r="G67" i="5" s="1"/>
  <c r="G68" i="5" s="1"/>
  <c r="J30" i="5"/>
  <c r="J65" i="5" s="1"/>
  <c r="J67" i="5" s="1"/>
  <c r="D30" i="5"/>
  <c r="D65" i="5" s="1"/>
  <c r="D67" i="5" s="1"/>
  <c r="B20" i="14"/>
  <c r="H30" i="5"/>
  <c r="H65" i="5" s="1"/>
  <c r="C7" i="14" s="1"/>
  <c r="B8" i="12"/>
  <c r="D8" i="12" s="1"/>
  <c r="B33" i="10"/>
  <c r="B35" i="10" s="1"/>
  <c r="B37" i="10" s="1"/>
  <c r="D23" i="10"/>
  <c r="E23" i="10" s="1"/>
  <c r="F23" i="10" s="1"/>
  <c r="B29" i="14"/>
  <c r="B15" i="10"/>
  <c r="B17" i="10" s="1"/>
  <c r="B25" i="10"/>
  <c r="B27" i="10" s="1"/>
  <c r="C68" i="5"/>
  <c r="C70" i="5"/>
  <c r="C71" i="5" s="1"/>
  <c r="B13" i="14" s="1"/>
  <c r="K29" i="5"/>
  <c r="E29" i="5"/>
  <c r="K30" i="5" l="1"/>
  <c r="K65" i="5" s="1"/>
  <c r="E30" i="5"/>
  <c r="E65" i="5" s="1"/>
  <c r="I70" i="5"/>
  <c r="I71" i="5" s="1"/>
  <c r="D13" i="14" s="1"/>
  <c r="G70" i="5"/>
  <c r="G71" i="5" s="1"/>
  <c r="C14" i="14" s="1"/>
  <c r="F68" i="5"/>
  <c r="B26" i="10"/>
  <c r="B28" i="10" s="1"/>
  <c r="B16" i="10"/>
  <c r="B18" i="10" s="1"/>
  <c r="B36" i="10"/>
  <c r="C34" i="10" s="1"/>
  <c r="J68" i="5"/>
  <c r="J70" i="5"/>
  <c r="J71" i="5" s="1"/>
  <c r="C110" i="5"/>
  <c r="H67" i="5"/>
  <c r="H70" i="5" s="1"/>
  <c r="H71" i="5" s="1"/>
  <c r="F72" i="5"/>
  <c r="B103" i="5"/>
  <c r="C72" i="5"/>
  <c r="B102" i="5"/>
  <c r="D68" i="5"/>
  <c r="D70" i="5"/>
  <c r="D71" i="5" s="1"/>
  <c r="B14" i="14" s="1"/>
  <c r="B104" i="5" l="1"/>
  <c r="I72" i="5"/>
  <c r="C103" i="5"/>
  <c r="G72" i="5"/>
  <c r="J72" i="5"/>
  <c r="D14" i="14"/>
  <c r="K67" i="5"/>
  <c r="K68" i="5" s="1"/>
  <c r="C8" i="14"/>
  <c r="C15" i="14"/>
  <c r="C39" i="14"/>
  <c r="D7" i="14"/>
  <c r="B39" i="14"/>
  <c r="B38" i="10"/>
  <c r="E67" i="5"/>
  <c r="E68" i="5" s="1"/>
  <c r="C6" i="14"/>
  <c r="C24" i="10"/>
  <c r="C25" i="10" s="1"/>
  <c r="C27" i="10" s="1"/>
  <c r="D10" i="12"/>
  <c r="C18" i="12"/>
  <c r="E18" i="12" s="1"/>
  <c r="B18" i="12"/>
  <c r="D18" i="12" s="1"/>
  <c r="C9" i="12"/>
  <c r="C10" i="12" s="1"/>
  <c r="B9" i="12"/>
  <c r="C111" i="5"/>
  <c r="C109" i="5"/>
  <c r="C14" i="10"/>
  <c r="C15" i="10" s="1"/>
  <c r="C17" i="10" s="1"/>
  <c r="C104" i="5"/>
  <c r="H68" i="5"/>
  <c r="C35" i="10"/>
  <c r="C37" i="10" s="1"/>
  <c r="D72" i="5"/>
  <c r="C102" i="5"/>
  <c r="H72" i="5"/>
  <c r="D110" i="5"/>
  <c r="D103" i="5"/>
  <c r="E70" i="5" l="1"/>
  <c r="E71" i="5" s="1"/>
  <c r="D102" i="5" s="1"/>
  <c r="K70" i="5"/>
  <c r="K71" i="5" s="1"/>
  <c r="B40" i="14" s="1"/>
  <c r="B10" i="12"/>
  <c r="D9" i="12"/>
  <c r="C13" i="12"/>
  <c r="C11" i="12"/>
  <c r="D11" i="12"/>
  <c r="D13" i="12"/>
  <c r="C16" i="10"/>
  <c r="C18" i="10" s="1"/>
  <c r="C36" i="10"/>
  <c r="C26" i="10"/>
  <c r="B17" i="12" l="1"/>
  <c r="D17" i="12" s="1"/>
  <c r="K72" i="5"/>
  <c r="B38" i="14"/>
  <c r="B15" i="14"/>
  <c r="C38" i="14"/>
  <c r="D6" i="14"/>
  <c r="C17" i="12"/>
  <c r="E17" i="12" s="1"/>
  <c r="D109" i="5"/>
  <c r="E72" i="5"/>
  <c r="C40" i="14"/>
  <c r="D111" i="5"/>
  <c r="D104" i="5"/>
  <c r="D8" i="14"/>
  <c r="B19" i="12"/>
  <c r="D19" i="12" s="1"/>
  <c r="D15" i="14"/>
  <c r="C19" i="12"/>
  <c r="E19" i="12" s="1"/>
  <c r="B13" i="12"/>
  <c r="B11" i="12"/>
  <c r="D14" i="10"/>
  <c r="D15" i="10" s="1"/>
  <c r="D17" i="10" s="1"/>
  <c r="C28" i="10"/>
  <c r="D24" i="10"/>
  <c r="D34" i="10"/>
  <c r="C38" i="10"/>
  <c r="D35" i="10" l="1"/>
  <c r="D37" i="10" s="1"/>
  <c r="D16" i="10"/>
  <c r="D25" i="10"/>
  <c r="D27" i="10" s="1"/>
  <c r="D36" i="10" l="1"/>
  <c r="D38" i="10" s="1"/>
  <c r="D26" i="10"/>
  <c r="D18" i="10"/>
  <c r="E14" i="10"/>
  <c r="E34" i="10" l="1"/>
  <c r="E35" i="10" s="1"/>
  <c r="E37" i="10" s="1"/>
  <c r="E15" i="10"/>
  <c r="E17" i="10" s="1"/>
  <c r="D28" i="10"/>
  <c r="E24" i="10"/>
  <c r="E36" i="10" l="1"/>
  <c r="E38" i="10" s="1"/>
  <c r="E16" i="10"/>
  <c r="F14" i="10" s="1"/>
  <c r="E25" i="10"/>
  <c r="E27" i="10" s="1"/>
  <c r="F34" i="10" l="1"/>
  <c r="F35" i="10" s="1"/>
  <c r="F37" i="10" s="1"/>
  <c r="E26" i="10"/>
  <c r="F24" i="10" s="1"/>
  <c r="E18" i="10"/>
  <c r="F15" i="10"/>
  <c r="F17" i="10" s="1"/>
  <c r="E28" i="10" l="1"/>
  <c r="F16" i="10"/>
  <c r="F18" i="10" s="1"/>
  <c r="F36" i="10"/>
  <c r="F38" i="10" s="1"/>
  <c r="F25" i="10"/>
  <c r="F27" i="10" s="1"/>
  <c r="F26" i="10" l="1"/>
  <c r="F28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GehSuites</author>
  </authors>
  <commentList>
    <comment ref="A31" authorId="0" shapeId="0" xr:uid="{9E34008D-D9C5-4010-8319-969D0689DC97}">
      <text>
        <r>
          <rPr>
            <b/>
            <sz val="9"/>
            <color indexed="81"/>
            <rFont val="Tahoma"/>
            <charset val="1"/>
          </rPr>
          <t>GehSuites:</t>
        </r>
        <r>
          <rPr>
            <sz val="9"/>
            <color indexed="81"/>
            <rFont val="Tahoma"/>
            <charset val="1"/>
          </rPr>
          <t xml:space="preserve">
Cada propietario asume los servicios publicos , nosotros tendremos una plataforma organizada para que las personas puedan realizar los pagos de los servicios </t>
        </r>
      </text>
    </comment>
    <comment ref="B52" authorId="0" shapeId="0" xr:uid="{BA033D0E-C7B9-45B2-8C64-0B9687700AE6}">
      <text>
        <r>
          <rPr>
            <b/>
            <sz val="9"/>
            <color indexed="81"/>
            <rFont val="Tahoma"/>
            <charset val="1"/>
          </rPr>
          <t>40.000 COP/unidad/mes × 108 unidades (1 Hab + 2 Hab). Cerradura digital + sensor de ruido.</t>
        </r>
      </text>
    </comment>
    <comment ref="B53" authorId="0" shapeId="0" xr:uid="{4829853C-E135-43AF-8BF3-10652E4D1906}">
      <text>
        <r>
          <rPr>
            <b/>
            <sz val="9"/>
            <color indexed="81"/>
            <rFont val="Tahoma"/>
            <charset val="1"/>
          </rPr>
          <t>500.000 COP/unidad/mes × 108 unidades (1 Hab + 2 Hab). Si las de 2 Hab pagan una cuota mayor por área, se puede separar la tarifa.</t>
        </r>
      </text>
    </comment>
    <comment ref="A58" authorId="0" shapeId="0" xr:uid="{5D391AF0-E795-4260-98D1-2EEA84BC79F8}">
      <text>
        <r>
          <rPr>
            <b/>
            <sz val="9"/>
            <color indexed="81"/>
            <rFont val="Tahoma"/>
            <charset val="1"/>
          </rPr>
          <t>GehSuites:</t>
        </r>
        <r>
          <rPr>
            <sz val="9"/>
            <color indexed="81"/>
            <rFont val="Tahoma"/>
            <charset val="1"/>
          </rPr>
          <t xml:space="preserve">
Detalle en ANEXO 3 (flores, minibar, médicos, bonificaciones, ambulancia, alimentación empleados, licencias, autocord, agremiación, datáfonos, música, ambientadores).</t>
        </r>
      </text>
    </comment>
    <comment ref="B64" authorId="0" shapeId="0" xr:uid="{34E2D9E7-68BC-4F5F-8998-70BDA6A4616D}">
      <text>
        <r>
          <rPr>
            <b/>
            <sz val="9"/>
            <color indexed="81"/>
            <rFont val="Tahoma"/>
            <charset val="1"/>
          </rPr>
          <t>GehSuites:</t>
        </r>
        <r>
          <rPr>
            <sz val="9"/>
            <color indexed="81"/>
            <rFont val="Tahoma"/>
            <charset val="1"/>
          </rPr>
          <t xml:space="preserve">
Fee base por unidad/mes: $400.000 × 72 unidades de 1 Hab + $460.000 × 36 unidades de 2 Hab = $45.360.000/mes.</t>
        </r>
      </text>
    </comment>
    <comment ref="A77" authorId="0" shapeId="0" xr:uid="{48BE7FB7-AFF7-471A-9937-F341EA49D6B7}">
      <text>
        <r>
          <rPr>
            <b/>
            <sz val="9"/>
            <color indexed="81"/>
            <rFont val="Tahoma"/>
            <charset val="1"/>
          </rPr>
          <t>GehSuites:</t>
        </r>
        <r>
          <rPr>
            <sz val="9"/>
            <color indexed="81"/>
            <rFont val="Tahoma"/>
            <charset val="1"/>
          </rPr>
          <t xml:space="preserve">
La gestión de revenue management / tarifas / distribución / OTAs / central de reservas la asume Smart Stay con su honorario. No se carga a la nómina del pool. Salario mostrado como referencia del valor aportado.</t>
        </r>
      </text>
    </comment>
    <comment ref="A115" authorId="0" shapeId="0" xr:uid="{35F9112F-5DAD-497F-B86F-57E0CE53A009}">
      <text>
        <r>
          <rPr>
            <b/>
            <sz val="9"/>
            <color indexed="81"/>
            <rFont val="Tahoma"/>
            <charset val="1"/>
          </rPr>
          <t>GehSuites:</t>
        </r>
        <r>
          <rPr>
            <sz val="9"/>
            <color indexed="81"/>
            <rFont val="Tahoma"/>
            <charset val="1"/>
          </rPr>
          <t xml:space="preserve">
Montos estimados (azul) — ajustar con valores reales. Se totalizan y alimentan la línea 'OTROS GASTOS OPERATIVOS' del P&amp;G.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GehSuites</author>
  </authors>
  <commentList>
    <comment ref="A8" authorId="0" shapeId="0" xr:uid="{F44E130C-C711-4D05-9434-4677EBA10F48}">
      <text>
        <r>
          <rPr>
            <b/>
            <sz val="9"/>
            <color indexed="81"/>
            <rFont val="Tahoma"/>
            <charset val="1"/>
          </rPr>
          <t>GehSuites:</t>
        </r>
        <r>
          <rPr>
            <sz val="9"/>
            <color indexed="81"/>
            <rFont val="Tahoma"/>
            <charset val="1"/>
          </rPr>
          <t xml:space="preserve">
Para años no modelados en HERITAGE (4 y 5) el aporte FARA crece a esta tasa. Ajustable.</t>
        </r>
      </text>
    </comment>
  </commentList>
</comments>
</file>

<file path=xl/sharedStrings.xml><?xml version="1.0" encoding="utf-8"?>
<sst xmlns="http://schemas.openxmlformats.org/spreadsheetml/2006/main" count="264" uniqueCount="196">
  <si>
    <t>TECNOLOGÍA Y COMUNICACIONES</t>
  </si>
  <si>
    <t>PMS</t>
  </si>
  <si>
    <t>OPERACIÓN Y SUMINISTROS</t>
  </si>
  <si>
    <t>SEGUROS Y LICENCIAS</t>
  </si>
  <si>
    <t>CONDO RESORT HERITAGE</t>
  </si>
  <si>
    <t>PROYECTO OPERADOR ÚnICO</t>
  </si>
  <si>
    <t>Proyección P&amp;G Anual — 3 Años / 3 Escenarios (COP)</t>
  </si>
  <si>
    <t>Días operación / año</t>
  </si>
  <si>
    <t>Crecimiento tarifa anual (ADR)</t>
  </si>
  <si>
    <t>Inflación costos fijos</t>
  </si>
  <si>
    <t>Factor prestacional nómina</t>
  </si>
  <si>
    <t>PESIMISTA</t>
  </si>
  <si>
    <t>CONSERVADOR</t>
  </si>
  <si>
    <t>OPTIMISTA</t>
  </si>
  <si>
    <t>Año 1</t>
  </si>
  <si>
    <t>Año 2</t>
  </si>
  <si>
    <t>Año 3</t>
  </si>
  <si>
    <t>% Ocupación</t>
  </si>
  <si>
    <t>INGRESOS PROYECTADOS</t>
  </si>
  <si>
    <t>TOTAL INGRESOS</t>
  </si>
  <si>
    <t>GASTOS PROYECTADOS</t>
  </si>
  <si>
    <t>Energía</t>
  </si>
  <si>
    <t>Agua</t>
  </si>
  <si>
    <t>Gas</t>
  </si>
  <si>
    <t>Internet / Cable / Telefonía</t>
  </si>
  <si>
    <t>Channel Manager</t>
  </si>
  <si>
    <t>Papelería</t>
  </si>
  <si>
    <t>Aseo</t>
  </si>
  <si>
    <t>Lavandería</t>
  </si>
  <si>
    <t>Dotación</t>
  </si>
  <si>
    <t>COMISIONES OTAS (% ingresos)</t>
  </si>
  <si>
    <t>TOTAL GASTOS</t>
  </si>
  <si>
    <t>UTILIDAD BRUTA / EBITDA</t>
  </si>
  <si>
    <t>ANEXO 1 — DETALLE DE NÓMINA (costo mensual)</t>
  </si>
  <si>
    <t>Cargo</t>
  </si>
  <si>
    <t>Cantidad</t>
  </si>
  <si>
    <t>Salario mensual</t>
  </si>
  <si>
    <t>Gerente General</t>
  </si>
  <si>
    <t>Recepcionistas</t>
  </si>
  <si>
    <t>Auditor Nocturno</t>
  </si>
  <si>
    <t>Botones</t>
  </si>
  <si>
    <t>Camareras</t>
  </si>
  <si>
    <t>Mantenimiento</t>
  </si>
  <si>
    <t>TOTAL NÓMINA MENSUAL</t>
  </si>
  <si>
    <t>Margen EBITDA (%)</t>
  </si>
  <si>
    <t>(-) Impuesto de renta</t>
  </si>
  <si>
    <t>UTILIDAD NETA</t>
  </si>
  <si>
    <t>Margen neto (%)</t>
  </si>
  <si>
    <t>RESUMEN COMPARATIVO</t>
  </si>
  <si>
    <t>Utilidad Neta (COP)</t>
  </si>
  <si>
    <t>Pesimista</t>
  </si>
  <si>
    <t>Conservador</t>
  </si>
  <si>
    <t>Optimista</t>
  </si>
  <si>
    <t>Comparativo Año 3 (maduración)</t>
  </si>
  <si>
    <t>Ingresos</t>
  </si>
  <si>
    <t>Gastos</t>
  </si>
  <si>
    <t>Utilidad Neta</t>
  </si>
  <si>
    <t>HONORARIOS OPERACIÓN — Fee variable (% ventas)</t>
  </si>
  <si>
    <t>Concierge</t>
  </si>
  <si>
    <t>MARKETING Y COMERCIALIZACIÓN (% ventas)</t>
  </si>
  <si>
    <t>DOMÓTICA (cerraduras + sensores)</t>
  </si>
  <si>
    <t>CUOTA ADMINISTRACIÓN / CONDOMINIO</t>
  </si>
  <si>
    <t>SEGURO RESPONSABILIDAD CIVIL</t>
  </si>
  <si>
    <t>Revenue Manager (incluido en fee Smart Stay)</t>
  </si>
  <si>
    <t>FARA — Mantto y reparaciones  ( Inv. Virtual )</t>
  </si>
  <si>
    <t xml:space="preserve">1-termina el esquema según el tipo de unidad  72 de 1 una habitacion y 36 de 2 habitaciones </t>
  </si>
  <si>
    <t xml:space="preserve">2-el fara lo lleves a un ahorro virtual con rendimiento a una tasa del 9% y que este a la vez según lo esperado vaya proyectando en rendimiento </t>
  </si>
  <si>
    <t xml:space="preserve">3- de acuerdo a tu experiencia en experto financiero aprovecha tus conocimientos en herramientas de bisnes inteligent y realiza la modelacion de los graficos para interpretar los datos del excel de la mejor forma </t>
  </si>
  <si>
    <t>4- firma de contadores y revisoria fiscal me puedes modelar  y cuantas personas se pueden estar neceitando para un modelo como heritage</t>
  </si>
  <si>
    <t xml:space="preserve">5- Persona de calidad y seguridad salu en el trabajo </t>
  </si>
  <si>
    <t>BASE MENSUAL</t>
  </si>
  <si>
    <t xml:space="preserve">GASTOS NOMINA </t>
  </si>
  <si>
    <t xml:space="preserve">SERVICIOS PUBLICOS </t>
  </si>
  <si>
    <t>HONORARIOS FIRMA CONTABLE</t>
  </si>
  <si>
    <t>REVISORÍA FISCAL</t>
  </si>
  <si>
    <t>Concepto</t>
  </si>
  <si>
    <t>TOTAL</t>
  </si>
  <si>
    <t>FONDO FARA — INVERSIÓN VIRTUAL CON RENTABILIDAD 9% E.A.</t>
  </si>
  <si>
    <t>El FARA (3,5% de ventas) se destina a daños/mantto/reparaciones; mientras no se usa, se invierte y genera rendimiento distribuible entre propietarios</t>
  </si>
  <si>
    <t>PARÁMETROS DEL FONDO</t>
  </si>
  <si>
    <t>Tasa de rentabilidad anual (E.A.)</t>
  </si>
  <si>
    <t>N° de propietarios</t>
  </si>
  <si>
    <t>Crecimiento aporte Año 4-5</t>
  </si>
  <si>
    <t>Convención: rendimiento de medio año sobre el aporte del periodo (mid-year)</t>
  </si>
  <si>
    <t>ESCENARIO PESIMISTA</t>
  </si>
  <si>
    <t>Año 4</t>
  </si>
  <si>
    <t>Año 5</t>
  </si>
  <si>
    <t>Saldo inicial</t>
  </si>
  <si>
    <t>Rendimiento (9% E.A.)</t>
  </si>
  <si>
    <t>Saldo final del fondo</t>
  </si>
  <si>
    <t>Rendimiento por propietario</t>
  </si>
  <si>
    <t>Saldo acumulado por propietario</t>
  </si>
  <si>
    <t>ESCENARIO CONSERVADOR (ESPERADO)</t>
  </si>
  <si>
    <t>ESCENARIO OPTIMISTA</t>
  </si>
  <si>
    <t>1. Comparativo Año 3 (maduración)</t>
  </si>
  <si>
    <t>Escenario</t>
  </si>
  <si>
    <t>2. Utilidad Neta por Año (COP)</t>
  </si>
  <si>
    <t>Año</t>
  </si>
  <si>
    <t>Categoría</t>
  </si>
  <si>
    <t>Valor anual</t>
  </si>
  <si>
    <t>Nómina operativa</t>
  </si>
  <si>
    <t>Servicios públicos</t>
  </si>
  <si>
    <t>Tecnología y comunicaciones</t>
  </si>
  <si>
    <t>Operación y suministros</t>
  </si>
  <si>
    <t>Domótica</t>
  </si>
  <si>
    <t>Administración / condominio</t>
  </si>
  <si>
    <t>Contable + Revisoría fiscal</t>
  </si>
  <si>
    <t>FARA (inversión virtual)</t>
  </si>
  <si>
    <t>Seguros y licencias</t>
  </si>
  <si>
    <t>Comisiones OTAs</t>
  </si>
  <si>
    <t>Honorarios operación (fee)</t>
  </si>
  <si>
    <t>Coordinador SST (SG-SST)</t>
  </si>
  <si>
    <t>Aporte FARA (3% ventas)</t>
  </si>
  <si>
    <t xml:space="preserve">Gastos de flores y decoracion </t>
  </si>
  <si>
    <t>servicios de minibar</t>
  </si>
  <si>
    <t>gastos medicos</t>
  </si>
  <si>
    <t>bonificaciones</t>
  </si>
  <si>
    <t xml:space="preserve">sericios de ambulancia </t>
  </si>
  <si>
    <t xml:space="preserve">alimentacion de empleados </t>
  </si>
  <si>
    <t xml:space="preserve">licencias </t>
  </si>
  <si>
    <t>autocord</t>
  </si>
  <si>
    <t xml:space="preserve">agremiacion </t>
  </si>
  <si>
    <t xml:space="preserve">costos por datofnos </t>
  </si>
  <si>
    <t>servicios musicar</t>
  </si>
  <si>
    <t>Ambientadores</t>
  </si>
  <si>
    <t>Por unidad 1-Hab</t>
  </si>
  <si>
    <t>Por unidad 2-Hab</t>
  </si>
  <si>
    <t>ANEXO 3 — OTROS GASTOS OPERATIVOS (costo mensual)</t>
  </si>
  <si>
    <t>Valor mensual</t>
  </si>
  <si>
    <t>Flores y decoración</t>
  </si>
  <si>
    <t>Servicios de minibar</t>
  </si>
  <si>
    <t>Gastos médicos (exámenes ocupacionales)</t>
  </si>
  <si>
    <t>Bonificaciones</t>
  </si>
  <si>
    <t>Servicios de ambulancia</t>
  </si>
  <si>
    <t>Alimentación de empleados</t>
  </si>
  <si>
    <t>Licencias</t>
  </si>
  <si>
    <t>Autocord</t>
  </si>
  <si>
    <t>Costos por datáfonos</t>
  </si>
  <si>
    <t>Servicios musicales (música ambiental)</t>
  </si>
  <si>
    <t>TOTAL OTROS GASTOS MENSUAL</t>
  </si>
  <si>
    <t>OTROS GASTOS OPERATIVOS</t>
  </si>
  <si>
    <t>Otros gastos operativos</t>
  </si>
  <si>
    <t>Pool 1-Hab</t>
  </si>
  <si>
    <t>Pool 2-Hab</t>
  </si>
  <si>
    <t>Ingresos del pool</t>
  </si>
  <si>
    <t>% de ingresos (criterio de reparto)</t>
  </si>
  <si>
    <t>(−) Costos, gastos e impuesto asignados</t>
  </si>
  <si>
    <t>Utilidad neta del pool</t>
  </si>
  <si>
    <t>Margen neto</t>
  </si>
  <si>
    <t>N° de unidades</t>
  </si>
  <si>
    <t>Unidades productivas  Apartamentos 1 Habitacion</t>
  </si>
  <si>
    <t>Unidades productivas  Apartamentos 2 Habitacion</t>
  </si>
  <si>
    <t xml:space="preserve">ADR (Tarifa promedio) 1 Habitacion </t>
  </si>
  <si>
    <t xml:space="preserve">ADR (Tarifa promedio) 2 Habitacion </t>
  </si>
  <si>
    <t xml:space="preserve">Ventas de hospedajes Apartamentos 1 Habitacion </t>
  </si>
  <si>
    <t xml:space="preserve">Ventas de hospedajes Apartamentos 2 Habitacion </t>
  </si>
  <si>
    <t>REPARTO DE UTILIDADES POR POOL DE HABITACIONES</t>
  </si>
  <si>
    <t>Cada pool recauda los ingresos de su tipología; los gastos se asignan proporcionalmente a esos ingresos. La participación se calcula con las ventas reales (filas 25/26 de HERITAGE).</t>
  </si>
  <si>
    <t>1. Estado de Resultados por POOL — Conservador, Año 3 (maduración)</t>
  </si>
  <si>
    <t>Utilidad por unidad / año</t>
  </si>
  <si>
    <t>2. Utilidad neta por unidad — Año 3 (maduración)</t>
  </si>
  <si>
    <t>Util. Pool 1-Hab</t>
  </si>
  <si>
    <t>Util. Pool 2-Hab</t>
  </si>
  <si>
    <t>DATOS  GENERALES</t>
  </si>
  <si>
    <t>Fee base (1Hab $400k / 2Hab $460k por unidad/mes)</t>
  </si>
  <si>
    <t>CONDO RESORT HERITAGE — TABLERO (BI)</t>
  </si>
  <si>
    <t>Indicadores por fórmula desde el modelo P&amp;G (3 escenarios)</t>
  </si>
  <si>
    <t>3. Estructura de Costos (Conservador Año 3)</t>
  </si>
  <si>
    <t>Marketing</t>
  </si>
  <si>
    <t>4. Utilidad Neta por unidad — Año 3 (1-Hab vs 2-Hab)</t>
  </si>
  <si>
    <t xml:space="preserve">Bolsa de Empleo </t>
  </si>
  <si>
    <t>Agremiación (ASOTELCA / gremio)</t>
  </si>
  <si>
    <t xml:space="preserve">Otros </t>
  </si>
  <si>
    <t>Operadora de Reservas  (incluido en fee Smart Stay)</t>
  </si>
  <si>
    <t>Equipo Comercial  (incluido en fee Smart Stay)</t>
  </si>
  <si>
    <t>Operación Diaria de canales (incluido en fee Smart Stay)</t>
  </si>
  <si>
    <t xml:space="preserve">Ama de Llaves </t>
  </si>
  <si>
    <t xml:space="preserve">Supervisora </t>
  </si>
  <si>
    <t>Administrador</t>
  </si>
  <si>
    <t>Desarrolladores e Innovacion  (incluido en fee Smart Stay)</t>
  </si>
  <si>
    <t>Coordinadora de Calidad</t>
  </si>
  <si>
    <t>Contac Center y Atencion al cliente (incluido en fee Smart Stay)</t>
  </si>
  <si>
    <t xml:space="preserve">Costo Mensual </t>
  </si>
  <si>
    <t xml:space="preserve">Sayco ,  Acinpro , Egeda </t>
  </si>
  <si>
    <t xml:space="preserve">Bomberos , Certificacion Decode </t>
  </si>
  <si>
    <t>Lancha Deportiva ( 12 Viajes Diarios )</t>
  </si>
  <si>
    <t xml:space="preserve">Salvavidas - Club de Playa </t>
  </si>
  <si>
    <t xml:space="preserve">Personal de Playa - Servicios de atencion </t>
  </si>
  <si>
    <t>Revenue Management System ( Incluido en Feet Smart Stay )</t>
  </si>
  <si>
    <t>CRM   ( Incluido en Feet Smart Stay )</t>
  </si>
  <si>
    <t>Automatizacion Cobros   ( Incluido en Feet Smart Stay )</t>
  </si>
  <si>
    <t>Sistemas de Mensajerias   ( Incluido en Feet Smart Stay )</t>
  </si>
  <si>
    <t>Chat Bot  ( Incluido en Feet Smart Stay )</t>
  </si>
  <si>
    <t>Ferias Nacional Anatos  e Internacionales  Fitur  ( Incluido en Feet Smart Stay )</t>
  </si>
  <si>
    <t xml:space="preserve">DETALLE - VARIABLES OPERATIVAS </t>
  </si>
  <si>
    <t xml:space="preserve">Días proyectados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</si>
</sst>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;\(#,##0\);&quot;-&quot;"/>
    <numFmt numFmtId="165" formatCode="0.0%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FFFFFF"/>
      <name val="Bookman Old Style"/>
    </font>
    <font>
      <b/>
      <sz val="13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rgb="FF808080"/>
      <name val="Calibri"/>
      <family val="2"/>
      <scheme val="minor"/>
    </font>
    <font>
      <sz val="11"/>
      <name val="Calibri"/>
      <family val="2"/>
      <scheme val="minor"/>
    </font>
    <font>
      <sz val="11"/>
      <color rgb="FF000066"/>
      <name val="Calibri"/>
      <family val="2"/>
      <scheme val="minor"/>
    </font>
    <font>
      <b/>
      <sz val="11"/>
      <color rgb="FF000066"/>
      <name val="Calibri"/>
      <family val="2"/>
      <scheme val="minor"/>
    </font>
    <font>
      <b/>
      <sz val="12"/>
      <color rgb="FF000066"/>
      <name val="Calibri"/>
      <family val="2"/>
      <scheme val="minor"/>
    </font>
    <font>
      <b/>
      <i/>
      <sz val="11"/>
      <color rgb="FF000066"/>
      <name val="Calibri"/>
      <family val="2"/>
      <scheme val="minor"/>
    </font>
    <font>
      <b/>
      <sz val="11"/>
      <color rgb="FF000000"/>
      <name val="Calibri"/>
      <scheme val="minor"/>
    </font>
    <font>
      <b/>
      <i/>
      <sz val="18"/>
      <color rgb="FFFFFFFF"/>
      <name val="Bookman Old Style"/>
    </font>
    <font>
      <b/>
      <sz val="12"/>
      <color rgb="FFFFFFFF"/>
      <name val="Calibri"/>
      <scheme val="minor"/>
    </font>
    <font>
      <i/>
      <sz val="10"/>
      <color rgb="FFFFFFFF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008000"/>
      <name val="Calibri"/>
      <family val="2"/>
      <scheme val="minor"/>
    </font>
    <font>
      <i/>
      <sz val="9"/>
      <color theme="1"/>
      <name val="Calibri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Calibri"/>
      <scheme val="minor"/>
    </font>
    <font>
      <i/>
      <sz val="11"/>
      <color theme="1"/>
      <name val="Calibri"/>
      <scheme val="minor"/>
    </font>
    <font>
      <b/>
      <sz val="16"/>
      <color rgb="FFFFFFFF"/>
      <name val="Bookman Old Style"/>
    </font>
    <font>
      <b/>
      <sz val="11"/>
      <color rgb="FF000000"/>
      <name val="Calibri"/>
      <family val="2"/>
      <scheme val="minor"/>
    </font>
    <font>
      <i/>
      <sz val="9"/>
      <color rgb="FFFFFFFF"/>
      <name val="Calibri"/>
      <scheme val="minor"/>
    </font>
    <font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9"/>
      <color rgb="FF80808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BDCC5"/>
        <bgColor indexed="64"/>
      </patternFill>
    </fill>
    <fill>
      <patternFill patternType="solid">
        <fgColor rgb="FFDDF5C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33" fillId="0" borderId="0" applyFont="0" applyFill="0" applyBorder="0" applyAlignment="0" applyProtection="0"/>
  </cellStyleXfs>
  <cellXfs count="269">
    <xf numFmtId="0" fontId="0" fillId="0" borderId="0" xfId="0"/>
    <xf numFmtId="0" fontId="0" fillId="0" borderId="12" xfId="0" applyBorder="1"/>
    <xf numFmtId="0" fontId="0" fillId="0" borderId="3" xfId="0" applyBorder="1"/>
    <xf numFmtId="0" fontId="3" fillId="0" borderId="0" xfId="0" applyFont="1"/>
    <xf numFmtId="164" fontId="0" fillId="0" borderId="0" xfId="0" applyNumberFormat="1"/>
    <xf numFmtId="0" fontId="1" fillId="8" borderId="0" xfId="0" applyFont="1" applyFill="1" applyAlignment="1">
      <alignment horizontal="center"/>
    </xf>
    <xf numFmtId="0" fontId="0" fillId="0" borderId="19" xfId="0" applyBorder="1"/>
    <xf numFmtId="0" fontId="0" fillId="0" borderId="20" xfId="0" applyBorder="1"/>
    <xf numFmtId="3" fontId="4" fillId="0" borderId="23" xfId="0" applyNumberFormat="1" applyFont="1" applyBorder="1"/>
    <xf numFmtId="1" fontId="4" fillId="0" borderId="23" xfId="0" applyNumberFormat="1" applyFont="1" applyBorder="1"/>
    <xf numFmtId="165" fontId="4" fillId="0" borderId="23" xfId="0" applyNumberFormat="1" applyFont="1" applyBorder="1"/>
    <xf numFmtId="2" fontId="4" fillId="0" borderId="24" xfId="0" applyNumberFormat="1" applyFont="1" applyBorder="1"/>
    <xf numFmtId="164" fontId="1" fillId="8" borderId="0" xfId="0" applyNumberFormat="1" applyFont="1" applyFill="1"/>
    <xf numFmtId="165" fontId="9" fillId="0" borderId="17" xfId="0" applyNumberFormat="1" applyFont="1" applyBorder="1"/>
    <xf numFmtId="0" fontId="9" fillId="0" borderId="20" xfId="0" applyFont="1" applyBorder="1"/>
    <xf numFmtId="164" fontId="0" fillId="0" borderId="23" xfId="0" applyNumberFormat="1" applyBorder="1"/>
    <xf numFmtId="164" fontId="1" fillId="8" borderId="23" xfId="0" applyNumberFormat="1" applyFont="1" applyFill="1" applyBorder="1"/>
    <xf numFmtId="165" fontId="9" fillId="0" borderId="24" xfId="0" applyNumberFormat="1" applyFont="1" applyBorder="1"/>
    <xf numFmtId="0" fontId="1" fillId="8" borderId="18" xfId="0" applyFont="1" applyFill="1" applyBorder="1"/>
    <xf numFmtId="0" fontId="13" fillId="0" borderId="19" xfId="0" applyFont="1" applyBorder="1"/>
    <xf numFmtId="0" fontId="2" fillId="0" borderId="19" xfId="0" applyFont="1" applyBorder="1"/>
    <xf numFmtId="164" fontId="2" fillId="0" borderId="0" xfId="0" applyNumberFormat="1" applyFont="1"/>
    <xf numFmtId="164" fontId="2" fillId="0" borderId="23" xfId="0" applyNumberFormat="1" applyFont="1" applyBorder="1"/>
    <xf numFmtId="0" fontId="0" fillId="0" borderId="9" xfId="0" applyBorder="1"/>
    <xf numFmtId="164" fontId="0" fillId="0" borderId="11" xfId="0" applyNumberFormat="1" applyBorder="1"/>
    <xf numFmtId="1" fontId="0" fillId="0" borderId="0" xfId="0" applyNumberFormat="1" applyAlignment="1">
      <alignment horizontal="center"/>
    </xf>
    <xf numFmtId="164" fontId="0" fillId="0" borderId="5" xfId="0" applyNumberFormat="1" applyBorder="1"/>
    <xf numFmtId="164" fontId="0" fillId="0" borderId="6" xfId="0" applyNumberFormat="1" applyBorder="1"/>
    <xf numFmtId="0" fontId="2" fillId="0" borderId="9" xfId="0" applyFont="1" applyBorder="1"/>
    <xf numFmtId="164" fontId="0" fillId="0" borderId="3" xfId="0" applyNumberFormat="1" applyBorder="1"/>
    <xf numFmtId="0" fontId="0" fillId="0" borderId="1" xfId="0" applyBorder="1"/>
    <xf numFmtId="0" fontId="0" fillId="0" borderId="34" xfId="0" applyBorder="1"/>
    <xf numFmtId="0" fontId="2" fillId="0" borderId="34" xfId="0" applyFont="1" applyBorder="1"/>
    <xf numFmtId="0" fontId="0" fillId="0" borderId="2" xfId="0" applyBorder="1"/>
    <xf numFmtId="164" fontId="0" fillId="0" borderId="12" xfId="0" applyNumberFormat="1" applyBorder="1"/>
    <xf numFmtId="164" fontId="0" fillId="0" borderId="9" xfId="0" applyNumberFormat="1" applyBorder="1"/>
    <xf numFmtId="164" fontId="2" fillId="0" borderId="9" xfId="0" applyNumberFormat="1" applyFont="1" applyBorder="1"/>
    <xf numFmtId="164" fontId="0" fillId="0" borderId="4" xfId="0" applyNumberFormat="1" applyBorder="1"/>
    <xf numFmtId="164" fontId="1" fillId="0" borderId="0" xfId="0" applyNumberFormat="1" applyFont="1"/>
    <xf numFmtId="164" fontId="1" fillId="0" borderId="23" xfId="0" applyNumberFormat="1" applyFont="1" applyBorder="1"/>
    <xf numFmtId="0" fontId="15" fillId="0" borderId="27" xfId="0" applyFont="1" applyBorder="1"/>
    <xf numFmtId="0" fontId="18" fillId="0" borderId="25" xfId="0" applyFont="1" applyBorder="1"/>
    <xf numFmtId="165" fontId="15" fillId="0" borderId="27" xfId="0" applyNumberFormat="1" applyFont="1" applyBorder="1"/>
    <xf numFmtId="164" fontId="0" fillId="0" borderId="34" xfId="0" applyNumberFormat="1" applyBorder="1" applyAlignment="1">
      <alignment horizontal="center"/>
    </xf>
    <xf numFmtId="3" fontId="0" fillId="0" borderId="34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34" xfId="0" applyNumberFormat="1" applyBorder="1"/>
    <xf numFmtId="164" fontId="2" fillId="0" borderId="34" xfId="0" applyNumberFormat="1" applyFont="1" applyBorder="1"/>
    <xf numFmtId="164" fontId="1" fillId="0" borderId="34" xfId="0" applyNumberFormat="1" applyFont="1" applyBorder="1"/>
    <xf numFmtId="164" fontId="1" fillId="8" borderId="34" xfId="0" applyNumberFormat="1" applyFont="1" applyFill="1" applyBorder="1"/>
    <xf numFmtId="165" fontId="9" fillId="0" borderId="37" xfId="0" applyNumberFormat="1" applyFont="1" applyBorder="1"/>
    <xf numFmtId="164" fontId="0" fillId="0" borderId="2" xfId="0" applyNumberFormat="1" applyBorder="1"/>
    <xf numFmtId="0" fontId="2" fillId="3" borderId="18" xfId="0" applyFont="1" applyFill="1" applyBorder="1"/>
    <xf numFmtId="0" fontId="17" fillId="3" borderId="21" xfId="0" applyFont="1" applyFill="1" applyBorder="1"/>
    <xf numFmtId="0" fontId="19" fillId="9" borderId="19" xfId="0" applyFont="1" applyFill="1" applyBorder="1"/>
    <xf numFmtId="0" fontId="1" fillId="8" borderId="0" xfId="0" applyFont="1" applyFill="1"/>
    <xf numFmtId="0" fontId="0" fillId="0" borderId="34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3" fontId="4" fillId="0" borderId="34" xfId="0" applyNumberFormat="1" applyFont="1" applyBorder="1"/>
    <xf numFmtId="0" fontId="0" fillId="0" borderId="13" xfId="0" applyBorder="1"/>
    <xf numFmtId="0" fontId="1" fillId="0" borderId="9" xfId="0" applyFont="1" applyBorder="1"/>
    <xf numFmtId="0" fontId="1" fillId="0" borderId="4" xfId="0" applyFont="1" applyBorder="1"/>
    <xf numFmtId="0" fontId="1" fillId="8" borderId="10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23" fillId="0" borderId="9" xfId="0" applyFont="1" applyBorder="1"/>
    <xf numFmtId="0" fontId="24" fillId="8" borderId="10" xfId="0" applyFont="1" applyFill="1" applyBorder="1"/>
    <xf numFmtId="0" fontId="24" fillId="8" borderId="14" xfId="0" applyFont="1" applyFill="1" applyBorder="1" applyAlignment="1">
      <alignment horizontal="center"/>
    </xf>
    <xf numFmtId="164" fontId="1" fillId="8" borderId="14" xfId="0" applyNumberFormat="1" applyFont="1" applyFill="1" applyBorder="1"/>
    <xf numFmtId="0" fontId="24" fillId="8" borderId="14" xfId="0" applyFont="1" applyFill="1" applyBorder="1"/>
    <xf numFmtId="0" fontId="19" fillId="6" borderId="10" xfId="0" applyFont="1" applyFill="1" applyBorder="1"/>
    <xf numFmtId="0" fontId="0" fillId="6" borderId="8" xfId="0" applyFill="1" applyBorder="1"/>
    <xf numFmtId="0" fontId="23" fillId="0" borderId="12" xfId="0" applyFont="1" applyBorder="1"/>
    <xf numFmtId="164" fontId="1" fillId="8" borderId="24" xfId="0" applyNumberFormat="1" applyFont="1" applyFill="1" applyBorder="1"/>
    <xf numFmtId="164" fontId="13" fillId="0" borderId="34" xfId="0" applyNumberFormat="1" applyFont="1" applyBorder="1"/>
    <xf numFmtId="164" fontId="4" fillId="0" borderId="1" xfId="0" applyNumberFormat="1" applyFont="1" applyBorder="1"/>
    <xf numFmtId="164" fontId="4" fillId="0" borderId="34" xfId="0" applyNumberFormat="1" applyFont="1" applyBorder="1"/>
    <xf numFmtId="164" fontId="4" fillId="0" borderId="2" xfId="0" applyNumberFormat="1" applyFont="1" applyBorder="1"/>
    <xf numFmtId="0" fontId="1" fillId="0" borderId="1" xfId="0" applyFont="1" applyBorder="1"/>
    <xf numFmtId="0" fontId="1" fillId="0" borderId="34" xfId="0" applyFont="1" applyBorder="1"/>
    <xf numFmtId="0" fontId="1" fillId="0" borderId="2" xfId="0" applyFont="1" applyBorder="1"/>
    <xf numFmtId="9" fontId="14" fillId="0" borderId="1" xfId="0" applyNumberFormat="1" applyFont="1" applyBorder="1" applyAlignment="1">
      <alignment horizontal="center"/>
    </xf>
    <xf numFmtId="9" fontId="14" fillId="0" borderId="3" xfId="0" applyNumberFormat="1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2" fillId="8" borderId="22" xfId="0" applyFont="1" applyFill="1" applyBorder="1" applyAlignment="1">
      <alignment horizontal="center" vertical="center"/>
    </xf>
    <xf numFmtId="0" fontId="1" fillId="8" borderId="38" xfId="0" applyFont="1" applyFill="1" applyBorder="1" applyAlignment="1">
      <alignment horizontal="center" vertical="center"/>
    </xf>
    <xf numFmtId="0" fontId="1" fillId="8" borderId="39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40" xfId="0" applyFont="1" applyFill="1" applyBorder="1" applyAlignment="1">
      <alignment horizontal="center" vertical="center"/>
    </xf>
    <xf numFmtId="0" fontId="1" fillId="8" borderId="4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8" borderId="26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5" fillId="2" borderId="0" xfId="0" applyFont="1" applyFill="1"/>
    <xf numFmtId="0" fontId="1" fillId="6" borderId="7" xfId="0" applyFont="1" applyFill="1" applyBorder="1" applyAlignment="1">
      <alignment horizontal="center"/>
    </xf>
    <xf numFmtId="0" fontId="30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164" fontId="1" fillId="8" borderId="0" xfId="0" applyNumberFormat="1" applyFont="1" applyFill="1" applyBorder="1"/>
    <xf numFmtId="165" fontId="9" fillId="10" borderId="17" xfId="0" applyNumberFormat="1" applyFont="1" applyFill="1" applyBorder="1"/>
    <xf numFmtId="165" fontId="9" fillId="10" borderId="2" xfId="0" applyNumberFormat="1" applyFont="1" applyFill="1" applyBorder="1"/>
    <xf numFmtId="165" fontId="9" fillId="10" borderId="24" xfId="0" applyNumberFormat="1" applyFont="1" applyFill="1" applyBorder="1"/>
    <xf numFmtId="165" fontId="9" fillId="11" borderId="17" xfId="0" applyNumberFormat="1" applyFont="1" applyFill="1" applyBorder="1"/>
    <xf numFmtId="165" fontId="9" fillId="11" borderId="2" xfId="0" applyNumberFormat="1" applyFont="1" applyFill="1" applyBorder="1"/>
    <xf numFmtId="165" fontId="9" fillId="11" borderId="24" xfId="0" applyNumberFormat="1" applyFont="1" applyFill="1" applyBorder="1"/>
    <xf numFmtId="165" fontId="9" fillId="12" borderId="17" xfId="0" applyNumberFormat="1" applyFont="1" applyFill="1" applyBorder="1"/>
    <xf numFmtId="165" fontId="9" fillId="12" borderId="2" xfId="0" applyNumberFormat="1" applyFont="1" applyFill="1" applyBorder="1"/>
    <xf numFmtId="165" fontId="9" fillId="12" borderId="24" xfId="0" applyNumberFormat="1" applyFont="1" applyFill="1" applyBorder="1"/>
    <xf numFmtId="164" fontId="15" fillId="0" borderId="34" xfId="0" applyNumberFormat="1" applyFont="1" applyBorder="1"/>
    <xf numFmtId="0" fontId="15" fillId="0" borderId="34" xfId="0" applyFont="1" applyBorder="1"/>
    <xf numFmtId="9" fontId="15" fillId="0" borderId="34" xfId="1" applyNumberFormat="1" applyFont="1" applyBorder="1"/>
    <xf numFmtId="164" fontId="0" fillId="0" borderId="0" xfId="0" applyNumberFormat="1" applyBorder="1"/>
    <xf numFmtId="164" fontId="2" fillId="0" borderId="0" xfId="0" applyNumberFormat="1" applyFont="1" applyBorder="1"/>
    <xf numFmtId="164" fontId="1" fillId="0" borderId="0" xfId="0" applyNumberFormat="1" applyFont="1" applyBorder="1"/>
    <xf numFmtId="0" fontId="1" fillId="8" borderId="1" xfId="0" applyFont="1" applyFill="1" applyBorder="1" applyAlignment="1">
      <alignment horizontal="center"/>
    </xf>
    <xf numFmtId="164" fontId="4" fillId="0" borderId="0" xfId="0" applyNumberFormat="1" applyFont="1" applyBorder="1"/>
    <xf numFmtId="1" fontId="13" fillId="0" borderId="12" xfId="0" applyNumberFormat="1" applyFont="1" applyBorder="1"/>
    <xf numFmtId="164" fontId="13" fillId="0" borderId="13" xfId="0" applyNumberFormat="1" applyFont="1" applyBorder="1"/>
    <xf numFmtId="1" fontId="13" fillId="0" borderId="9" xfId="0" applyNumberFormat="1" applyFont="1" applyBorder="1"/>
    <xf numFmtId="164" fontId="13" fillId="0" borderId="11" xfId="0" applyNumberFormat="1" applyFont="1" applyBorder="1"/>
    <xf numFmtId="1" fontId="4" fillId="0" borderId="9" xfId="0" applyNumberFormat="1" applyFont="1" applyBorder="1"/>
    <xf numFmtId="1" fontId="4" fillId="0" borderId="4" xfId="0" applyNumberFormat="1" applyFont="1" applyBorder="1"/>
    <xf numFmtId="164" fontId="4" fillId="0" borderId="5" xfId="0" applyNumberFormat="1" applyFont="1" applyBorder="1"/>
    <xf numFmtId="164" fontId="13" fillId="0" borderId="1" xfId="0" applyNumberFormat="1" applyFont="1" applyBorder="1"/>
    <xf numFmtId="164" fontId="0" fillId="0" borderId="0" xfId="0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9" xfId="0" applyFont="1" applyFill="1" applyBorder="1"/>
    <xf numFmtId="0" fontId="0" fillId="0" borderId="19" xfId="0" applyFill="1" applyBorder="1"/>
    <xf numFmtId="0" fontId="1" fillId="3" borderId="19" xfId="0" applyFont="1" applyFill="1" applyBorder="1"/>
    <xf numFmtId="164" fontId="15" fillId="3" borderId="34" xfId="0" applyNumberFormat="1" applyFont="1" applyFill="1" applyBorder="1"/>
    <xf numFmtId="0" fontId="0" fillId="0" borderId="9" xfId="0" applyFont="1" applyBorder="1"/>
    <xf numFmtId="0" fontId="0" fillId="0" borderId="0" xfId="0" applyFont="1" applyFill="1" applyBorder="1"/>
    <xf numFmtId="0" fontId="34" fillId="0" borderId="34" xfId="0" applyFont="1" applyBorder="1"/>
    <xf numFmtId="0" fontId="35" fillId="0" borderId="43" xfId="0" applyFont="1" applyFill="1" applyBorder="1" applyAlignment="1"/>
    <xf numFmtId="0" fontId="35" fillId="0" borderId="19" xfId="0" applyFont="1" applyFill="1" applyBorder="1" applyAlignment="1"/>
    <xf numFmtId="164" fontId="1" fillId="3" borderId="0" xfId="0" applyNumberFormat="1" applyFont="1" applyFill="1"/>
    <xf numFmtId="164" fontId="1" fillId="3" borderId="34" xfId="0" applyNumberFormat="1" applyFont="1" applyFill="1" applyBorder="1"/>
    <xf numFmtId="164" fontId="1" fillId="3" borderId="0" xfId="0" applyNumberFormat="1" applyFont="1" applyFill="1" applyBorder="1"/>
    <xf numFmtId="164" fontId="1" fillId="3" borderId="23" xfId="0" applyNumberFormat="1" applyFont="1" applyFill="1" applyBorder="1"/>
    <xf numFmtId="0" fontId="1" fillId="3" borderId="10" xfId="0" applyFont="1" applyFill="1" applyBorder="1"/>
    <xf numFmtId="0" fontId="16" fillId="3" borderId="14" xfId="0" applyFont="1" applyFill="1" applyBorder="1"/>
    <xf numFmtId="164" fontId="1" fillId="3" borderId="7" xfId="0" applyNumberFormat="1" applyFont="1" applyFill="1" applyBorder="1"/>
    <xf numFmtId="164" fontId="1" fillId="3" borderId="14" xfId="0" applyNumberFormat="1" applyFont="1" applyFill="1" applyBorder="1"/>
    <xf numFmtId="164" fontId="1" fillId="3" borderId="8" xfId="0" applyNumberFormat="1" applyFont="1" applyFill="1" applyBorder="1"/>
    <xf numFmtId="0" fontId="1" fillId="8" borderId="10" xfId="0" applyFont="1" applyFill="1" applyBorder="1"/>
    <xf numFmtId="0" fontId="1" fillId="8" borderId="14" xfId="0" applyFont="1" applyFill="1" applyBorder="1"/>
    <xf numFmtId="164" fontId="1" fillId="8" borderId="7" xfId="0" applyNumberFormat="1" applyFont="1" applyFill="1" applyBorder="1"/>
    <xf numFmtId="164" fontId="1" fillId="8" borderId="8" xfId="0" applyNumberFormat="1" applyFont="1" applyFill="1" applyBorder="1"/>
    <xf numFmtId="165" fontId="15" fillId="8" borderId="14" xfId="0" applyNumberFormat="1" applyFont="1" applyFill="1" applyBorder="1"/>
    <xf numFmtId="164" fontId="15" fillId="8" borderId="14" xfId="0" applyNumberFormat="1" applyFont="1" applyFill="1" applyBorder="1"/>
    <xf numFmtId="165" fontId="16" fillId="8" borderId="14" xfId="0" applyNumberFormat="1" applyFont="1" applyFill="1" applyBorder="1"/>
    <xf numFmtId="164" fontId="31" fillId="3" borderId="7" xfId="0" applyNumberFormat="1" applyFont="1" applyFill="1" applyBorder="1"/>
    <xf numFmtId="164" fontId="31" fillId="3" borderId="14" xfId="0" applyNumberFormat="1" applyFont="1" applyFill="1" applyBorder="1"/>
    <xf numFmtId="164" fontId="31" fillId="3" borderId="8" xfId="0" applyNumberFormat="1" applyFont="1" applyFill="1" applyBorder="1"/>
    <xf numFmtId="0" fontId="19" fillId="3" borderId="14" xfId="0" applyFont="1" applyFill="1" applyBorder="1"/>
    <xf numFmtId="0" fontId="16" fillId="8" borderId="14" xfId="0" applyFont="1" applyFill="1" applyBorder="1"/>
    <xf numFmtId="165" fontId="16" fillId="3" borderId="14" xfId="0" applyNumberFormat="1" applyFont="1" applyFill="1" applyBorder="1"/>
    <xf numFmtId="165" fontId="16" fillId="3" borderId="34" xfId="0" applyNumberFormat="1" applyFont="1" applyFill="1" applyBorder="1"/>
    <xf numFmtId="164" fontId="16" fillId="3" borderId="14" xfId="0" applyNumberFormat="1" applyFont="1" applyFill="1" applyBorder="1"/>
    <xf numFmtId="0" fontId="36" fillId="3" borderId="10" xfId="0" applyFont="1" applyFill="1" applyBorder="1"/>
    <xf numFmtId="0" fontId="36" fillId="3" borderId="35" xfId="0" applyFont="1" applyFill="1" applyBorder="1"/>
    <xf numFmtId="164" fontId="36" fillId="3" borderId="7" xfId="0" applyNumberFormat="1" applyFont="1" applyFill="1" applyBorder="1"/>
    <xf numFmtId="164" fontId="36" fillId="3" borderId="14" xfId="0" applyNumberFormat="1" applyFont="1" applyFill="1" applyBorder="1"/>
    <xf numFmtId="0" fontId="37" fillId="0" borderId="0" xfId="0" applyFont="1"/>
    <xf numFmtId="0" fontId="36" fillId="3" borderId="31" xfId="0" applyFont="1" applyFill="1" applyBorder="1"/>
    <xf numFmtId="0" fontId="36" fillId="3" borderId="2" xfId="0" applyFont="1" applyFill="1" applyBorder="1"/>
    <xf numFmtId="164" fontId="36" fillId="3" borderId="32" xfId="0" applyNumberFormat="1" applyFont="1" applyFill="1" applyBorder="1"/>
    <xf numFmtId="164" fontId="36" fillId="3" borderId="2" xfId="0" applyNumberFormat="1" applyFont="1" applyFill="1" applyBorder="1"/>
    <xf numFmtId="164" fontId="36" fillId="3" borderId="33" xfId="0" applyNumberFormat="1" applyFont="1" applyFill="1" applyBorder="1"/>
    <xf numFmtId="164" fontId="36" fillId="3" borderId="5" xfId="0" applyNumberFormat="1" applyFont="1" applyFill="1" applyBorder="1"/>
    <xf numFmtId="164" fontId="36" fillId="3" borderId="30" xfId="0" applyNumberFormat="1" applyFont="1" applyFill="1" applyBorder="1"/>
    <xf numFmtId="164" fontId="36" fillId="3" borderId="6" xfId="0" applyNumberFormat="1" applyFont="1" applyFill="1" applyBorder="1"/>
    <xf numFmtId="164" fontId="36" fillId="3" borderId="16" xfId="0" applyNumberFormat="1" applyFont="1" applyFill="1" applyBorder="1"/>
    <xf numFmtId="164" fontId="36" fillId="3" borderId="36" xfId="0" applyNumberFormat="1" applyFont="1" applyFill="1" applyBorder="1"/>
    <xf numFmtId="164" fontId="36" fillId="3" borderId="28" xfId="0" applyNumberFormat="1" applyFont="1" applyFill="1" applyBorder="1"/>
    <xf numFmtId="164" fontId="36" fillId="3" borderId="42" xfId="0" applyNumberFormat="1" applyFont="1" applyFill="1" applyBorder="1"/>
    <xf numFmtId="1" fontId="1" fillId="8" borderId="14" xfId="0" applyNumberFormat="1" applyFont="1" applyFill="1" applyBorder="1"/>
    <xf numFmtId="0" fontId="2" fillId="8" borderId="23" xfId="0" applyFont="1" applyFill="1" applyBorder="1" applyAlignment="1">
      <alignment horizontal="center" vertical="center"/>
    </xf>
    <xf numFmtId="0" fontId="2" fillId="8" borderId="30" xfId="0" applyFont="1" applyFill="1" applyBorder="1" applyAlignment="1">
      <alignment horizontal="center" vertical="center"/>
    </xf>
    <xf numFmtId="164" fontId="25" fillId="0" borderId="3" xfId="0" applyNumberFormat="1" applyFont="1" applyBorder="1"/>
    <xf numFmtId="0" fontId="29" fillId="0" borderId="4" xfId="0" applyFont="1" applyBorder="1"/>
    <xf numFmtId="164" fontId="3" fillId="0" borderId="5" xfId="0" applyNumberFormat="1" applyFont="1" applyBorder="1"/>
    <xf numFmtId="0" fontId="23" fillId="0" borderId="4" xfId="0" applyFont="1" applyBorder="1"/>
    <xf numFmtId="0" fontId="28" fillId="5" borderId="10" xfId="0" applyFont="1" applyFill="1" applyBorder="1" applyAlignment="1">
      <alignment horizontal="center"/>
    </xf>
    <xf numFmtId="0" fontId="28" fillId="5" borderId="7" xfId="0" applyFont="1" applyFill="1" applyBorder="1" applyAlignment="1">
      <alignment horizontal="center"/>
    </xf>
    <xf numFmtId="0" fontId="28" fillId="5" borderId="8" xfId="0" applyFont="1" applyFill="1" applyBorder="1" applyAlignment="1">
      <alignment horizontal="center"/>
    </xf>
    <xf numFmtId="0" fontId="28" fillId="7" borderId="10" xfId="0" applyFont="1" applyFill="1" applyBorder="1" applyAlignment="1">
      <alignment horizontal="center"/>
    </xf>
    <xf numFmtId="0" fontId="28" fillId="7" borderId="7" xfId="0" applyFont="1" applyFill="1" applyBorder="1" applyAlignment="1">
      <alignment horizontal="center"/>
    </xf>
    <xf numFmtId="0" fontId="28" fillId="7" borderId="8" xfId="0" applyFont="1" applyFill="1" applyBorder="1" applyAlignment="1">
      <alignment horizontal="center"/>
    </xf>
    <xf numFmtId="0" fontId="28" fillId="4" borderId="10" xfId="0" applyFont="1" applyFill="1" applyBorder="1" applyAlignment="1">
      <alignment horizontal="center"/>
    </xf>
    <xf numFmtId="0" fontId="28" fillId="4" borderId="7" xfId="0" applyFont="1" applyFill="1" applyBorder="1" applyAlignment="1">
      <alignment horizontal="center"/>
    </xf>
    <xf numFmtId="0" fontId="28" fillId="4" borderId="8" xfId="0" applyFont="1" applyFill="1" applyBorder="1" applyAlignment="1">
      <alignment horizontal="center"/>
    </xf>
    <xf numFmtId="164" fontId="25" fillId="0" borderId="1" xfId="0" applyNumberFormat="1" applyFont="1" applyBorder="1"/>
    <xf numFmtId="164" fontId="3" fillId="0" borderId="2" xfId="0" applyNumberFormat="1" applyFont="1" applyBorder="1"/>
    <xf numFmtId="164" fontId="37" fillId="3" borderId="14" xfId="0" applyNumberFormat="1" applyFont="1" applyFill="1" applyBorder="1"/>
    <xf numFmtId="164" fontId="37" fillId="3" borderId="34" xfId="0" applyNumberFormat="1" applyFont="1" applyFill="1" applyBorder="1"/>
    <xf numFmtId="164" fontId="37" fillId="9" borderId="34" xfId="0" applyNumberFormat="1" applyFont="1" applyFill="1" applyBorder="1"/>
    <xf numFmtId="9" fontId="38" fillId="0" borderId="1" xfId="0" applyNumberFormat="1" applyFont="1" applyBorder="1" applyAlignment="1">
      <alignment horizontal="center"/>
    </xf>
    <xf numFmtId="164" fontId="38" fillId="0" borderId="34" xfId="0" applyNumberFormat="1" applyFont="1" applyBorder="1" applyAlignment="1">
      <alignment horizontal="center"/>
    </xf>
    <xf numFmtId="3" fontId="38" fillId="0" borderId="34" xfId="0" applyNumberFormat="1" applyFont="1" applyBorder="1" applyAlignment="1">
      <alignment horizontal="center"/>
    </xf>
    <xf numFmtId="0" fontId="38" fillId="0" borderId="34" xfId="0" applyFont="1" applyBorder="1" applyAlignment="1">
      <alignment horizontal="center"/>
    </xf>
    <xf numFmtId="1" fontId="38" fillId="0" borderId="2" xfId="0" applyNumberFormat="1" applyFont="1" applyBorder="1" applyAlignment="1">
      <alignment horizontal="center"/>
    </xf>
    <xf numFmtId="9" fontId="38" fillId="0" borderId="3" xfId="0" applyNumberFormat="1" applyFont="1" applyBorder="1" applyAlignment="1">
      <alignment horizontal="center"/>
    </xf>
    <xf numFmtId="164" fontId="38" fillId="0" borderId="0" xfId="0" applyNumberFormat="1" applyFont="1" applyBorder="1" applyAlignment="1">
      <alignment horizontal="center"/>
    </xf>
    <xf numFmtId="3" fontId="38" fillId="0" borderId="0" xfId="0" applyNumberFormat="1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1" fontId="38" fillId="0" borderId="0" xfId="0" applyNumberFormat="1" applyFont="1" applyAlignment="1">
      <alignment horizontal="center"/>
    </xf>
    <xf numFmtId="164" fontId="38" fillId="0" borderId="0" xfId="0" applyNumberFormat="1" applyFont="1" applyAlignment="1">
      <alignment horizontal="center"/>
    </xf>
    <xf numFmtId="3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0" fontId="19" fillId="6" borderId="10" xfId="0" applyFont="1" applyFill="1" applyBorder="1" applyAlignment="1">
      <alignment horizontal="left"/>
    </xf>
    <xf numFmtId="0" fontId="19" fillId="6" borderId="8" xfId="0" applyFont="1" applyFill="1" applyBorder="1" applyAlignment="1">
      <alignment horizontal="left"/>
    </xf>
    <xf numFmtId="0" fontId="23" fillId="0" borderId="1" xfId="0" applyFont="1" applyBorder="1"/>
    <xf numFmtId="0" fontId="23" fillId="0" borderId="34" xfId="0" applyFont="1" applyBorder="1"/>
    <xf numFmtId="0" fontId="23" fillId="0" borderId="2" xfId="0" applyFont="1" applyBorder="1"/>
    <xf numFmtId="165" fontId="4" fillId="0" borderId="1" xfId="0" applyNumberFormat="1" applyFont="1" applyBorder="1" applyAlignment="1">
      <alignment horizontal="center"/>
    </xf>
    <xf numFmtId="3" fontId="25" fillId="0" borderId="34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39" fillId="0" borderId="10" xfId="0" applyFont="1" applyBorder="1"/>
    <xf numFmtId="0" fontId="1" fillId="0" borderId="8" xfId="0" applyFont="1" applyBorder="1"/>
    <xf numFmtId="0" fontId="24" fillId="6" borderId="0" xfId="0" applyFont="1" applyFill="1" applyAlignment="1">
      <alignment horizontal="left"/>
    </xf>
    <xf numFmtId="0" fontId="1" fillId="8" borderId="4" xfId="0" applyFont="1" applyFill="1" applyBorder="1"/>
    <xf numFmtId="0" fontId="1" fillId="8" borderId="5" xfId="0" applyFont="1" applyFill="1" applyBorder="1" applyAlignment="1">
      <alignment horizontal="center"/>
    </xf>
    <xf numFmtId="0" fontId="24" fillId="6" borderId="10" xfId="0" applyFont="1" applyFill="1" applyBorder="1"/>
    <xf numFmtId="0" fontId="0" fillId="6" borderId="7" xfId="0" applyFill="1" applyBorder="1"/>
    <xf numFmtId="0" fontId="26" fillId="0" borderId="9" xfId="0" applyFont="1" applyBorder="1"/>
    <xf numFmtId="0" fontId="24" fillId="0" borderId="10" xfId="0" applyFont="1" applyBorder="1"/>
    <xf numFmtId="164" fontId="10" fillId="0" borderId="34" xfId="0" applyNumberFormat="1" applyFont="1" applyBorder="1"/>
    <xf numFmtId="164" fontId="10" fillId="0" borderId="2" xfId="0" applyNumberFormat="1" applyFont="1" applyBorder="1"/>
    <xf numFmtId="164" fontId="10" fillId="0" borderId="1" xfId="0" applyNumberFormat="1" applyFont="1" applyBorder="1"/>
    <xf numFmtId="164" fontId="10" fillId="0" borderId="13" xfId="0" applyNumberFormat="1" applyFont="1" applyBorder="1"/>
    <xf numFmtId="164" fontId="10" fillId="0" borderId="11" xfId="0" applyNumberFormat="1" applyFont="1" applyBorder="1"/>
    <xf numFmtId="164" fontId="10" fillId="0" borderId="6" xfId="0" applyNumberFormat="1" applyFont="1" applyBorder="1"/>
    <xf numFmtId="164" fontId="9" fillId="3" borderId="14" xfId="0" applyNumberFormat="1" applyFont="1" applyFill="1" applyBorder="1"/>
    <xf numFmtId="164" fontId="1" fillId="3" borderId="1" xfId="0" applyNumberFormat="1" applyFont="1" applyFill="1" applyBorder="1" applyAlignment="1">
      <alignment horizontal="right"/>
    </xf>
    <xf numFmtId="165" fontId="27" fillId="3" borderId="34" xfId="0" applyNumberFormat="1" applyFont="1" applyFill="1" applyBorder="1" applyAlignment="1">
      <alignment horizontal="right"/>
    </xf>
    <xf numFmtId="164" fontId="1" fillId="3" borderId="34" xfId="0" applyNumberFormat="1" applyFont="1" applyFill="1" applyBorder="1" applyAlignment="1">
      <alignment horizontal="right"/>
    </xf>
    <xf numFmtId="164" fontId="1" fillId="3" borderId="14" xfId="0" applyNumberFormat="1" applyFont="1" applyFill="1" applyBorder="1" applyAlignment="1">
      <alignment horizontal="right"/>
    </xf>
    <xf numFmtId="3" fontId="1" fillId="3" borderId="2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27" fillId="0" borderId="34" xfId="0" applyNumberFormat="1" applyFont="1" applyBorder="1" applyAlignment="1">
      <alignment horizontal="right"/>
    </xf>
    <xf numFmtId="164" fontId="0" fillId="0" borderId="34" xfId="0" applyNumberFormat="1" applyBorder="1" applyAlignment="1">
      <alignment horizontal="right"/>
    </xf>
    <xf numFmtId="164" fontId="1" fillId="8" borderId="14" xfId="0" applyNumberFormat="1" applyFont="1" applyFill="1" applyBorder="1" applyAlignment="1">
      <alignment horizontal="right"/>
    </xf>
    <xf numFmtId="3" fontId="0" fillId="0" borderId="2" xfId="0" applyNumberFormat="1" applyBorder="1" applyAlignment="1">
      <alignment horizontal="right"/>
    </xf>
    <xf numFmtId="164" fontId="10" fillId="0" borderId="14" xfId="0" applyNumberFormat="1" applyFont="1" applyBorder="1" applyAlignment="1">
      <alignment horizontal="right"/>
    </xf>
    <xf numFmtId="164" fontId="15" fillId="0" borderId="34" xfId="0" applyNumberFormat="1" applyFont="1" applyFill="1" applyBorder="1"/>
    <xf numFmtId="164" fontId="1" fillId="0" borderId="0" xfId="0" applyNumberFormat="1" applyFont="1" applyFill="1"/>
    <xf numFmtId="164" fontId="1" fillId="0" borderId="34" xfId="0" applyNumberFormat="1" applyFont="1" applyFill="1" applyBorder="1"/>
    <xf numFmtId="164" fontId="1" fillId="0" borderId="0" xfId="0" applyNumberFormat="1" applyFont="1" applyFill="1" applyBorder="1"/>
    <xf numFmtId="164" fontId="1" fillId="0" borderId="23" xfId="0" applyNumberFormat="1" applyFont="1" applyFill="1" applyBorder="1"/>
    <xf numFmtId="0" fontId="0" fillId="0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0000"/>
      <color rgb="FFFFFF99"/>
      <color rgb="FF00FF00"/>
      <color rgb="FF000099"/>
      <color rgb="FF0000CC"/>
      <color rgb="FF000066"/>
      <color rgb="FFDDF5CF"/>
      <color rgb="FFFBDCC5"/>
      <color rgb="FFCCFF33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Utilidad Neta por escenario (3 años)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'HERITAGE '!$B$101</c:f>
              <c:strCache>
                <c:ptCount val="1"/>
                <c:pt idx="0">
                  <c:v>Año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'HERITAGE '!$A$102:$A$104</c:f>
              <c:strCache>
                <c:ptCount val="3"/>
                <c:pt idx="0">
                  <c:v>Pesimista</c:v>
                </c:pt>
                <c:pt idx="1">
                  <c:v>Conservador</c:v>
                </c:pt>
                <c:pt idx="2">
                  <c:v>Optimista</c:v>
                </c:pt>
              </c:strCache>
            </c:strRef>
          </c:cat>
          <c:val>
            <c:numRef>
              <c:f>'HERITAGE '!$B$102:$B$104</c:f>
              <c:numCache>
                <c:formatCode>#,##0;\(#,##0\);"-"</c:formatCode>
                <c:ptCount val="3"/>
                <c:pt idx="0">
                  <c:v>91072800</c:v>
                </c:pt>
                <c:pt idx="1">
                  <c:v>1723503600</c:v>
                </c:pt>
                <c:pt idx="2">
                  <c:v>4237447032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C-48B2-904B-3628E11C3D76}"/>
            </c:ext>
          </c:extLst>
        </c:ser>
        <c:ser>
          <c:idx val="1"/>
          <c:order val="1"/>
          <c:tx>
            <c:strRef>
              <c:f>'HERITAGE '!$C$101</c:f>
              <c:strCache>
                <c:ptCount val="1"/>
                <c:pt idx="0">
                  <c:v>Año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'HERITAGE '!$A$102:$A$104</c:f>
              <c:strCache>
                <c:ptCount val="3"/>
                <c:pt idx="0">
                  <c:v>Pesimista</c:v>
                </c:pt>
                <c:pt idx="1">
                  <c:v>Conservador</c:v>
                </c:pt>
                <c:pt idx="2">
                  <c:v>Optimista</c:v>
                </c:pt>
              </c:strCache>
            </c:strRef>
          </c:cat>
          <c:val>
            <c:numRef>
              <c:f>'HERITAGE '!$C$102:$C$104</c:f>
              <c:numCache>
                <c:formatCode>#,##0;\(#,##0\);"-"</c:formatCode>
                <c:ptCount val="3"/>
                <c:pt idx="0">
                  <c:v>524139525</c:v>
                </c:pt>
                <c:pt idx="1">
                  <c:v>2281043173.5</c:v>
                </c:pt>
                <c:pt idx="2">
                  <c:v>5014956655.8000002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6C-48B2-904B-3628E11C3D76}"/>
            </c:ext>
          </c:extLst>
        </c:ser>
        <c:ser>
          <c:idx val="2"/>
          <c:order val="2"/>
          <c:tx>
            <c:strRef>
              <c:f>'HERITAGE '!$D$101</c:f>
              <c:strCache>
                <c:ptCount val="1"/>
                <c:pt idx="0">
                  <c:v>Año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'HERITAGE '!$A$102:$A$104</c:f>
              <c:strCache>
                <c:ptCount val="3"/>
                <c:pt idx="0">
                  <c:v>Pesimista</c:v>
                </c:pt>
                <c:pt idx="1">
                  <c:v>Conservador</c:v>
                </c:pt>
                <c:pt idx="2">
                  <c:v>Optimista</c:v>
                </c:pt>
              </c:strCache>
            </c:strRef>
          </c:cat>
          <c:val>
            <c:numRef>
              <c:f>'HERITAGE '!$D$102:$D$104</c:f>
              <c:numCache>
                <c:formatCode>#,##0;\(#,##0\);"-"</c:formatCode>
                <c:ptCount val="3"/>
                <c:pt idx="0">
                  <c:v>1000285240.5</c:v>
                </c:pt>
                <c:pt idx="1">
                  <c:v>2890027945.3500004</c:v>
                </c:pt>
                <c:pt idx="2">
                  <c:v>5859623624.3999996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6C-48B2-904B-3628E11C3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9479471"/>
        <c:axId val="1349466991"/>
      </c:barChart>
      <c:catAx>
        <c:axId val="134947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466991"/>
        <c:crosses val="autoZero"/>
        <c:auto val="1"/>
        <c:lblAlgn val="ctr"/>
        <c:lblOffset val="100"/>
        <c:noMultiLvlLbl val="0"/>
      </c:catAx>
      <c:valAx>
        <c:axId val="134946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47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vs Gastos vs Utilidad Neta — Año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'HERITAGE '!$B$108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'HERITAGE '!$A$109:$A$111</c:f>
              <c:strCache>
                <c:ptCount val="3"/>
                <c:pt idx="0">
                  <c:v>Pesimista</c:v>
                </c:pt>
                <c:pt idx="1">
                  <c:v>Conservador</c:v>
                </c:pt>
                <c:pt idx="2">
                  <c:v>Optimista</c:v>
                </c:pt>
              </c:strCache>
            </c:strRef>
          </c:cat>
          <c:val>
            <c:numRef>
              <c:f>'HERITAGE '!$B$109:$B$111</c:f>
              <c:numCache>
                <c:formatCode>#,##0;\(#,##0\);"-"</c:formatCode>
                <c:ptCount val="3"/>
                <c:pt idx="0">
                  <c:v>9439274250</c:v>
                </c:pt>
                <c:pt idx="1">
                  <c:v>13844268900</c:v>
                </c:pt>
                <c:pt idx="2">
                  <c:v>20766403350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1-46C8-8F9F-4BD648BC2E0C}"/>
            </c:ext>
          </c:extLst>
        </c:ser>
        <c:ser>
          <c:idx val="1"/>
          <c:order val="1"/>
          <c:tx>
            <c:strRef>
              <c:f>'HERITAGE '!$C$108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'HERITAGE '!$A$109:$A$111</c:f>
              <c:strCache>
                <c:ptCount val="3"/>
                <c:pt idx="0">
                  <c:v>Pesimista</c:v>
                </c:pt>
                <c:pt idx="1">
                  <c:v>Conservador</c:v>
                </c:pt>
                <c:pt idx="2">
                  <c:v>Optimista</c:v>
                </c:pt>
              </c:strCache>
            </c:strRef>
          </c:cat>
          <c:val>
            <c:numRef>
              <c:f>'HERITAGE '!$C$109:$C$111</c:f>
              <c:numCache>
                <c:formatCode>#,##0;\(#,##0\);"-"</c:formatCode>
                <c:ptCount val="3"/>
                <c:pt idx="0">
                  <c:v>7900373880</c:v>
                </c:pt>
                <c:pt idx="1">
                  <c:v>9398072061</c:v>
                </c:pt>
                <c:pt idx="2">
                  <c:v>11751597774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1-46C8-8F9F-4BD648BC2E0C}"/>
            </c:ext>
          </c:extLst>
        </c:ser>
        <c:ser>
          <c:idx val="2"/>
          <c:order val="2"/>
          <c:tx>
            <c:strRef>
              <c:f>'HERITAGE '!$D$108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'HERITAGE '!$A$109:$A$111</c:f>
              <c:strCache>
                <c:ptCount val="3"/>
                <c:pt idx="0">
                  <c:v>Pesimista</c:v>
                </c:pt>
                <c:pt idx="1">
                  <c:v>Conservador</c:v>
                </c:pt>
                <c:pt idx="2">
                  <c:v>Optimista</c:v>
                </c:pt>
              </c:strCache>
            </c:strRef>
          </c:cat>
          <c:val>
            <c:numRef>
              <c:f>'HERITAGE '!$D$109:$D$111</c:f>
              <c:numCache>
                <c:formatCode>#,##0;\(#,##0\);"-"</c:formatCode>
                <c:ptCount val="3"/>
                <c:pt idx="0">
                  <c:v>1000285240.5</c:v>
                </c:pt>
                <c:pt idx="1">
                  <c:v>2890027945.3500004</c:v>
                </c:pt>
                <c:pt idx="2">
                  <c:v>5859623624.3999996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21-46C8-8F9F-4BD648BC2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214927"/>
        <c:axId val="28158639"/>
      </c:barChart>
      <c:catAx>
        <c:axId val="148821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158639"/>
        <c:crosses val="autoZero"/>
        <c:auto val="1"/>
        <c:lblAlgn val="ctr"/>
        <c:lblOffset val="100"/>
        <c:noMultiLvlLbl val="0"/>
      </c:catAx>
      <c:valAx>
        <c:axId val="2815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821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 Ingresos vs Gastos vs Utilidad Neta (Año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BI'!$B$5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BI'!$A$6:$A$8</c:f>
              <c:strCache>
                <c:ptCount val="3"/>
                <c:pt idx="0">
                  <c:v>Pesimista</c:v>
                </c:pt>
                <c:pt idx="1">
                  <c:v>Conservador</c:v>
                </c:pt>
                <c:pt idx="2">
                  <c:v>Optimista</c:v>
                </c:pt>
              </c:strCache>
            </c:strRef>
          </c:cat>
          <c:val>
            <c:numRef>
              <c:f>'Dashboard BI'!$B$6:$B$8</c:f>
              <c:numCache>
                <c:formatCode>#,##0;\(#,##0\);"-"</c:formatCode>
                <c:ptCount val="3"/>
                <c:pt idx="0">
                  <c:v>9439274250</c:v>
                </c:pt>
                <c:pt idx="1">
                  <c:v>13844268900</c:v>
                </c:pt>
                <c:pt idx="2">
                  <c:v>20766403350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8-40F2-8F65-0794DA856C13}"/>
            </c:ext>
          </c:extLst>
        </c:ser>
        <c:ser>
          <c:idx val="1"/>
          <c:order val="1"/>
          <c:tx>
            <c:strRef>
              <c:f>'Dashboard BI'!$C$5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BI'!$A$6:$A$8</c:f>
              <c:strCache>
                <c:ptCount val="3"/>
                <c:pt idx="0">
                  <c:v>Pesimista</c:v>
                </c:pt>
                <c:pt idx="1">
                  <c:v>Conservador</c:v>
                </c:pt>
                <c:pt idx="2">
                  <c:v>Optimista</c:v>
                </c:pt>
              </c:strCache>
            </c:strRef>
          </c:cat>
          <c:val>
            <c:numRef>
              <c:f>'Dashboard BI'!$C$6:$C$8</c:f>
              <c:numCache>
                <c:formatCode>#,##0;\(#,##0\);"-"</c:formatCode>
                <c:ptCount val="3"/>
                <c:pt idx="0">
                  <c:v>7900373880</c:v>
                </c:pt>
                <c:pt idx="1">
                  <c:v>9398072061</c:v>
                </c:pt>
                <c:pt idx="2">
                  <c:v>11751597774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8-40F2-8F65-0794DA856C13}"/>
            </c:ext>
          </c:extLst>
        </c:ser>
        <c:ser>
          <c:idx val="2"/>
          <c:order val="2"/>
          <c:tx>
            <c:strRef>
              <c:f>'Dashboard BI'!$D$5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'Dashboard BI'!$A$6:$A$8</c:f>
              <c:strCache>
                <c:ptCount val="3"/>
                <c:pt idx="0">
                  <c:v>Pesimista</c:v>
                </c:pt>
                <c:pt idx="1">
                  <c:v>Conservador</c:v>
                </c:pt>
                <c:pt idx="2">
                  <c:v>Optimista</c:v>
                </c:pt>
              </c:strCache>
            </c:strRef>
          </c:cat>
          <c:val>
            <c:numRef>
              <c:f>'Dashboard BI'!$D$6:$D$8</c:f>
              <c:numCache>
                <c:formatCode>#,##0;\(#,##0\);"-"</c:formatCode>
                <c:ptCount val="3"/>
                <c:pt idx="0">
                  <c:v>1000285240.5</c:v>
                </c:pt>
                <c:pt idx="1">
                  <c:v>2890027945.3500004</c:v>
                </c:pt>
                <c:pt idx="2">
                  <c:v>5859623624.3999996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88-40F2-8F65-0794DA856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322864"/>
        <c:axId val="565322384"/>
      </c:barChart>
      <c:catAx>
        <c:axId val="5653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5322384"/>
        <c:crosses val="autoZero"/>
        <c:auto val="1"/>
        <c:lblAlgn val="ctr"/>
        <c:lblOffset val="100"/>
        <c:noMultiLvlLbl val="0"/>
      </c:catAx>
      <c:valAx>
        <c:axId val="56532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53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2. Utilidad Neta por Año (3 escenarios)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BI'!$B$12</c:f>
              <c:strCache>
                <c:ptCount val="1"/>
                <c:pt idx="0">
                  <c:v>Pesimista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'Dashboard BI'!$A$13:$A$15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'Dashboard BI'!$B$13:$B$15</c:f>
              <c:numCache>
                <c:formatCode>#,##0;\(#,##0\);"-"</c:formatCode>
                <c:ptCount val="3"/>
                <c:pt idx="0">
                  <c:v>91072800</c:v>
                </c:pt>
                <c:pt idx="1">
                  <c:v>524139525</c:v>
                </c:pt>
                <c:pt idx="2">
                  <c:v>1000285240.5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08-46E8-81F3-BF233D60F35B}"/>
            </c:ext>
          </c:extLst>
        </c:ser>
        <c:ser>
          <c:idx val="1"/>
          <c:order val="1"/>
          <c:tx>
            <c:strRef>
              <c:f>'Dashboard BI'!$C$12</c:f>
              <c:strCache>
                <c:ptCount val="1"/>
                <c:pt idx="0">
                  <c:v>Conservador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'Dashboard BI'!$A$13:$A$15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'Dashboard BI'!$C$13:$C$15</c:f>
              <c:numCache>
                <c:formatCode>#,##0;\(#,##0\);"-"</c:formatCode>
                <c:ptCount val="3"/>
                <c:pt idx="0">
                  <c:v>1723503600</c:v>
                </c:pt>
                <c:pt idx="1">
                  <c:v>2281043173.5</c:v>
                </c:pt>
                <c:pt idx="2">
                  <c:v>2890027945.3500004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08-46E8-81F3-BF233D60F35B}"/>
            </c:ext>
          </c:extLst>
        </c:ser>
        <c:ser>
          <c:idx val="2"/>
          <c:order val="2"/>
          <c:tx>
            <c:strRef>
              <c:f>'Dashboard BI'!$D$12</c:f>
              <c:strCache>
                <c:ptCount val="1"/>
                <c:pt idx="0">
                  <c:v>Optimista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'Dashboard BI'!$A$13:$A$15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'Dashboard BI'!$D$13:$D$15</c:f>
              <c:numCache>
                <c:formatCode>#,##0;\(#,##0\);"-"</c:formatCode>
                <c:ptCount val="3"/>
                <c:pt idx="0">
                  <c:v>4237447032</c:v>
                </c:pt>
                <c:pt idx="1">
                  <c:v>5014956655.8000002</c:v>
                </c:pt>
                <c:pt idx="2">
                  <c:v>5859623624.3999996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08-46E8-81F3-BF233D60F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189792"/>
        <c:axId val="379190752"/>
      </c:lineChart>
      <c:catAx>
        <c:axId val="37918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9190752"/>
        <c:crosses val="autoZero"/>
        <c:auto val="1"/>
        <c:lblAlgn val="ctr"/>
        <c:lblOffset val="100"/>
        <c:noMultiLvlLbl val="0"/>
      </c:catAx>
      <c:valAx>
        <c:axId val="3791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918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3. Estructura de Costos (Conservador Año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'Dashboard BI'!$B$19</c:f>
              <c:strCache>
                <c:ptCount val="1"/>
                <c:pt idx="0">
                  <c:v>Valor anual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B2-4EF1-B168-669578FF3B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B2-4EF1-B168-669578FF3B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B2-4EF1-B168-669578FF3B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B2-4EF1-B168-669578FF3B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B2-4EF1-B168-669578FF3B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B2-4EF1-B168-669578FF3B2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2B2-4EF1-B168-669578FF3B2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2B2-4EF1-B168-669578FF3B2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2B2-4EF1-B168-669578FF3B2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2B2-4EF1-B168-669578FF3B2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2B2-4EF1-B168-669578FF3B2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2B2-4EF1-B168-669578FF3B2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2B2-4EF1-B168-669578FF3B2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2B2-4EF1-B168-669578FF3B24}"/>
              </c:ext>
            </c:extLst>
          </c:dPt>
          <c:cat>
            <c:strRef>
              <c:f>'Dashboard BI'!$A$20:$A$33</c:f>
              <c:strCache>
                <c:ptCount val="13"/>
                <c:pt idx="0">
                  <c:v>Nómina operativa</c:v>
                </c:pt>
                <c:pt idx="1">
                  <c:v>Servicios públicos</c:v>
                </c:pt>
                <c:pt idx="2">
                  <c:v>Tecnología y comunicaciones</c:v>
                </c:pt>
                <c:pt idx="3">
                  <c:v>Operación y suministros</c:v>
                </c:pt>
                <c:pt idx="4">
                  <c:v>Marketing</c:v>
                </c:pt>
                <c:pt idx="5">
                  <c:v>Domótica</c:v>
                </c:pt>
                <c:pt idx="6">
                  <c:v>Administración / condominio</c:v>
                </c:pt>
                <c:pt idx="7">
                  <c:v>Seguros y licencias</c:v>
                </c:pt>
                <c:pt idx="8">
                  <c:v>Contable + Revisoría fiscal</c:v>
                </c:pt>
                <c:pt idx="9">
                  <c:v>FARA (inversión virtual)</c:v>
                </c:pt>
                <c:pt idx="10">
                  <c:v>Otros gastos operativos</c:v>
                </c:pt>
                <c:pt idx="11">
                  <c:v>Comisiones OTAs</c:v>
                </c:pt>
                <c:pt idx="12">
                  <c:v>Honorarios operación (fee)</c:v>
                </c:pt>
              </c:strCache>
            </c:strRef>
          </c:cat>
          <c:val>
            <c:numRef>
              <c:f>'Dashboard BI'!$B$20:$B$33</c:f>
              <c:numCache>
                <c:formatCode>#,##0;\(#,##0\);"-"</c:formatCode>
                <c:ptCount val="14"/>
                <c:pt idx="0">
                  <c:v>1325579850</c:v>
                </c:pt>
                <c:pt idx="1">
                  <c:v>542430000</c:v>
                </c:pt>
                <c:pt idx="2">
                  <c:v>79380000</c:v>
                </c:pt>
                <c:pt idx="3">
                  <c:v>436590000</c:v>
                </c:pt>
                <c:pt idx="4">
                  <c:v>138442689</c:v>
                </c:pt>
                <c:pt idx="5">
                  <c:v>0</c:v>
                </c:pt>
                <c:pt idx="6">
                  <c:v>714420000</c:v>
                </c:pt>
                <c:pt idx="7">
                  <c:v>304290000</c:v>
                </c:pt>
                <c:pt idx="8">
                  <c:v>132300000</c:v>
                </c:pt>
                <c:pt idx="9">
                  <c:v>415328067</c:v>
                </c:pt>
                <c:pt idx="10">
                  <c:v>423360000</c:v>
                </c:pt>
                <c:pt idx="11">
                  <c:v>2491968402</c:v>
                </c:pt>
                <c:pt idx="12">
                  <c:v>2261425068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7-4853-94EF-C19A79B1A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4. Utilidad por unidad: 1-Hab vs 2-Hab (Año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BI'!$B$37</c:f>
              <c:strCache>
                <c:ptCount val="1"/>
                <c:pt idx="0">
                  <c:v>Por unidad 1-Hab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BI'!$A$38:$A$40</c:f>
              <c:strCache>
                <c:ptCount val="3"/>
                <c:pt idx="0">
                  <c:v>Pesimista</c:v>
                </c:pt>
                <c:pt idx="1">
                  <c:v>Conservador</c:v>
                </c:pt>
                <c:pt idx="2">
                  <c:v>Optimista</c:v>
                </c:pt>
              </c:strCache>
            </c:strRef>
          </c:cat>
          <c:val>
            <c:numRef>
              <c:f>'Dashboard BI'!$B$38:$B$40</c:f>
              <c:numCache>
                <c:formatCode>#,##0;\(#,##0\);"-"</c:formatCode>
                <c:ptCount val="3"/>
                <c:pt idx="0">
                  <c:v>8832540.7549668886</c:v>
                </c:pt>
                <c:pt idx="1">
                  <c:v>25519010.554966893</c:v>
                </c:pt>
                <c:pt idx="2">
                  <c:v>51740605.954966888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4-4521-81EB-FDDB5708F929}"/>
            </c:ext>
          </c:extLst>
        </c:ser>
        <c:ser>
          <c:idx val="1"/>
          <c:order val="1"/>
          <c:tx>
            <c:strRef>
              <c:f>'Dashboard BI'!$C$37</c:f>
              <c:strCache>
                <c:ptCount val="1"/>
                <c:pt idx="0">
                  <c:v>Por unidad 2-Hab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BI'!$A$38:$A$40</c:f>
              <c:strCache>
                <c:ptCount val="3"/>
                <c:pt idx="0">
                  <c:v>Pesimista</c:v>
                </c:pt>
                <c:pt idx="1">
                  <c:v>Conservador</c:v>
                </c:pt>
                <c:pt idx="2">
                  <c:v>Optimista</c:v>
                </c:pt>
              </c:strCache>
            </c:strRef>
          </c:cat>
          <c:val>
            <c:numRef>
              <c:f>'Dashboard BI'!$C$38:$C$40</c:f>
              <c:numCache>
                <c:formatCode>#,##0;\(#,##0\);"-"</c:formatCode>
                <c:ptCount val="3"/>
                <c:pt idx="0">
                  <c:v>10120619.615066223</c:v>
                </c:pt>
                <c:pt idx="1">
                  <c:v>29240532.927566227</c:v>
                </c:pt>
                <c:pt idx="2">
                  <c:v>59286110.990066215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64-4521-81EB-FDDB5708F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547760"/>
        <c:axId val="555549680"/>
      </c:barChart>
      <c:catAx>
        <c:axId val="55554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5549680"/>
        <c:crosses val="autoZero"/>
        <c:auto val="1"/>
        <c:lblAlgn val="ctr"/>
        <c:lblOffset val="100"/>
        <c:noMultiLvlLbl val="0"/>
      </c:catAx>
      <c:valAx>
        <c:axId val="55554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554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1054789</xdr:colOff>
      <xdr:row>74</xdr:row>
      <xdr:rowOff>8282</xdr:rowOff>
    </xdr:from>
    <xdr:to>
      <xdr:col>11</xdr:col>
      <xdr:colOff>347869</xdr:colOff>
      <xdr:row>86</xdr:row>
      <xdr:rowOff>66260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7A89BE-7B40-CBD1-140A-D15C12F22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1054789</xdr:colOff>
      <xdr:row>88</xdr:row>
      <xdr:rowOff>8282</xdr:rowOff>
    </xdr:from>
    <xdr:to>
      <xdr:col>11</xdr:col>
      <xdr:colOff>157369</xdr:colOff>
      <xdr:row>101</xdr:row>
      <xdr:rowOff>124239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8C9004-68AE-5265-EC4C-FB2DED6ED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752475</xdr:colOff>
      <xdr:row>2</xdr:row>
      <xdr:rowOff>171450</xdr:rowOff>
    </xdr:from>
    <xdr:to>
      <xdr:col>13</xdr:col>
      <xdr:colOff>752475</xdr:colOff>
      <xdr:row>19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70837C-1F9A-7F8B-767F-9BF1DA286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752474</xdr:colOff>
      <xdr:row>20</xdr:row>
      <xdr:rowOff>142875</xdr:rowOff>
    </xdr:from>
    <xdr:to>
      <xdr:col>13</xdr:col>
      <xdr:colOff>266699</xdr:colOff>
      <xdr:row>36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966E1A-9CD3-2FE0-2666-189D02220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37</xdr:row>
      <xdr:rowOff>0</xdr:rowOff>
    </xdr:from>
    <xdr:to>
      <xdr:col>14</xdr:col>
      <xdr:colOff>9525</xdr:colOff>
      <xdr:row>55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8B14FE-2131-50DB-FA8E-5806CB2CC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55</xdr:row>
      <xdr:rowOff>171450</xdr:rowOff>
    </xdr:from>
    <xdr:to>
      <xdr:col>14</xdr:col>
      <xdr:colOff>0</xdr:colOff>
      <xdr:row>72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CDC91B1-8791-AE6C-7E43-A672E1BA4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F49E5A3-57E8-4EC3-9371-13CF30C00904}">
  <we:reference id="wa200010725" version="1.0.0.1" store="es-ES" storeType="OMEX"/>
  <we:alternateReferences>
    <we:reference id="wa200010725" version="1.0.0.1" store="wa200010725" storeType="OMEX"/>
  </we:alternateReferences>
  <we:properties>
    <we:property name="claude.fileId" value="&quot;4135f1e7-6165-4d73-bbcb-fac466c2a6f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</sheetPr>
  <dimension ref="A1:K131"/>
  <sheetViews>
    <sheetView tabSelected="1" topLeftCell="A6" zoomScale="115" zoomScaleNormal="118" workbookViewId="0">
      <selection activeCell="E102" sqref="E102"/>
    </sheetView>
  </sheetViews>
  <sheetFormatPr baseColWidth="10" defaultRowHeight="15" x14ac:dyDescent="0.25"/>
  <cols>
    <col min="1" max="1" width="57.85546875" customWidth="1"/>
    <col min="2" max="2" width="16.140625" customWidth="1"/>
    <col min="3" max="3" width="15.5703125" customWidth="1"/>
    <col min="4" max="4" width="17.42578125" customWidth="1"/>
    <col min="5" max="5" width="15.85546875" customWidth="1"/>
    <col min="6" max="9" width="15.5703125" customWidth="1"/>
    <col min="10" max="10" width="16.42578125" customWidth="1"/>
    <col min="11" max="11" width="15.85546875" customWidth="1"/>
  </cols>
  <sheetData>
    <row r="1" spans="1:11" s="3" customFormat="1" ht="20.25" customHeight="1" x14ac:dyDescent="0.4">
      <c r="A1" s="84" t="s">
        <v>4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ht="20.25" customHeight="1" x14ac:dyDescent="0.3">
      <c r="A2" s="85" t="s">
        <v>5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3" spans="1:11" ht="20.25" customHeight="1" x14ac:dyDescent="0.25">
      <c r="A3" s="86" t="s">
        <v>6</v>
      </c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1" ht="15" customHeight="1" thickBot="1" x14ac:dyDescent="0.3"/>
    <row r="5" spans="1:11" ht="21.75" customHeight="1" thickBot="1" x14ac:dyDescent="0.3">
      <c r="A5" s="100" t="s">
        <v>163</v>
      </c>
      <c r="B5" s="101"/>
    </row>
    <row r="6" spans="1:11" ht="15" customHeight="1" x14ac:dyDescent="0.25">
      <c r="A6" s="6" t="s">
        <v>150</v>
      </c>
      <c r="B6" s="8">
        <v>72</v>
      </c>
    </row>
    <row r="7" spans="1:11" ht="15" customHeight="1" x14ac:dyDescent="0.25">
      <c r="A7" s="6" t="s">
        <v>151</v>
      </c>
      <c r="B7" s="8">
        <v>36</v>
      </c>
    </row>
    <row r="8" spans="1:11" ht="18" customHeight="1" x14ac:dyDescent="0.25">
      <c r="A8" s="6" t="s">
        <v>7</v>
      </c>
      <c r="B8" s="9">
        <v>365</v>
      </c>
    </row>
    <row r="9" spans="1:11" ht="18" customHeight="1" x14ac:dyDescent="0.25">
      <c r="A9" s="6" t="s">
        <v>8</v>
      </c>
      <c r="B9" s="10">
        <v>0.05</v>
      </c>
    </row>
    <row r="10" spans="1:11" ht="18" customHeight="1" x14ac:dyDescent="0.25">
      <c r="A10" s="6" t="s">
        <v>9</v>
      </c>
      <c r="B10" s="10">
        <v>0.05</v>
      </c>
    </row>
    <row r="11" spans="1:11" ht="18" customHeight="1" thickBot="1" x14ac:dyDescent="0.3">
      <c r="A11" s="7" t="s">
        <v>10</v>
      </c>
      <c r="B11" s="11">
        <v>1.45</v>
      </c>
    </row>
    <row r="12" spans="1:11" ht="16.5" customHeight="1" thickBot="1" x14ac:dyDescent="0.3"/>
    <row r="13" spans="1:11" ht="16.5" customHeight="1" thickBot="1" x14ac:dyDescent="0.3">
      <c r="A13" s="87" t="s">
        <v>194</v>
      </c>
      <c r="B13" s="105" t="s">
        <v>70</v>
      </c>
      <c r="C13" s="94" t="s">
        <v>11</v>
      </c>
      <c r="D13" s="94"/>
      <c r="E13" s="95"/>
      <c r="F13" s="96" t="s">
        <v>12</v>
      </c>
      <c r="G13" s="96"/>
      <c r="H13" s="97"/>
      <c r="I13" s="98" t="s">
        <v>13</v>
      </c>
      <c r="J13" s="98"/>
      <c r="K13" s="99"/>
    </row>
    <row r="14" spans="1:11" ht="18" customHeight="1" x14ac:dyDescent="0.25">
      <c r="A14" s="195"/>
      <c r="B14" s="106"/>
      <c r="C14" s="88" t="s">
        <v>14</v>
      </c>
      <c r="D14" s="90" t="s">
        <v>15</v>
      </c>
      <c r="E14" s="92" t="s">
        <v>16</v>
      </c>
      <c r="F14" s="88" t="s">
        <v>14</v>
      </c>
      <c r="G14" s="90" t="s">
        <v>15</v>
      </c>
      <c r="H14" s="92" t="s">
        <v>16</v>
      </c>
      <c r="I14" s="88" t="s">
        <v>14</v>
      </c>
      <c r="J14" s="90" t="s">
        <v>15</v>
      </c>
      <c r="K14" s="90" t="s">
        <v>16</v>
      </c>
    </row>
    <row r="15" spans="1:11" ht="18" customHeight="1" thickBot="1" x14ac:dyDescent="0.3">
      <c r="A15" s="196"/>
      <c r="B15" s="107"/>
      <c r="C15" s="89"/>
      <c r="D15" s="91"/>
      <c r="E15" s="93"/>
      <c r="F15" s="89"/>
      <c r="G15" s="91"/>
      <c r="H15" s="93"/>
      <c r="I15" s="89"/>
      <c r="J15" s="91"/>
      <c r="K15" s="91"/>
    </row>
    <row r="16" spans="1:11" ht="13.5" customHeight="1" x14ac:dyDescent="0.25">
      <c r="A16" s="1" t="s">
        <v>17</v>
      </c>
      <c r="B16" s="30"/>
      <c r="C16" s="220">
        <v>0.35</v>
      </c>
      <c r="D16" s="82">
        <v>0.4</v>
      </c>
      <c r="E16" s="82">
        <v>0.45</v>
      </c>
      <c r="F16" s="220">
        <v>0.5</v>
      </c>
      <c r="G16" s="82">
        <v>0.55000000000000004</v>
      </c>
      <c r="H16" s="83">
        <v>0.6</v>
      </c>
      <c r="I16" s="215">
        <v>0.65</v>
      </c>
      <c r="J16" s="83">
        <v>0.7</v>
      </c>
      <c r="K16" s="82">
        <v>0.75</v>
      </c>
    </row>
    <row r="17" spans="1:11" ht="18" customHeight="1" x14ac:dyDescent="0.25">
      <c r="A17" s="23" t="s">
        <v>152</v>
      </c>
      <c r="B17" s="31"/>
      <c r="C17" s="225">
        <v>480000</v>
      </c>
      <c r="D17" s="43">
        <f>C17*(1+$B$9)</f>
        <v>504000</v>
      </c>
      <c r="E17" s="43">
        <f>D17*(1+$B$9)</f>
        <v>529200</v>
      </c>
      <c r="F17" s="221">
        <f>+C17*1.1</f>
        <v>528000</v>
      </c>
      <c r="G17" s="43">
        <f>F17*(1+$B$9)</f>
        <v>554400</v>
      </c>
      <c r="H17" s="141">
        <f>G17*(1+$B$9)</f>
        <v>582120</v>
      </c>
      <c r="I17" s="216">
        <f>F17*1.2</f>
        <v>633600</v>
      </c>
      <c r="J17" s="141">
        <f>I17*(1+$B$9)</f>
        <v>665280</v>
      </c>
      <c r="K17" s="43">
        <f>J17*(1+$B$9)</f>
        <v>698544</v>
      </c>
    </row>
    <row r="18" spans="1:11" ht="18" customHeight="1" x14ac:dyDescent="0.25">
      <c r="A18" s="23" t="s">
        <v>153</v>
      </c>
      <c r="B18" s="31"/>
      <c r="C18" s="225">
        <v>550000</v>
      </c>
      <c r="D18" s="43">
        <f>C18*(1+$B$9)</f>
        <v>577500</v>
      </c>
      <c r="E18" s="43">
        <f>D18*(1+$B$9)</f>
        <v>606375</v>
      </c>
      <c r="F18" s="221">
        <f>+C18*1.1</f>
        <v>605000</v>
      </c>
      <c r="G18" s="43">
        <f>F18*(1+$B$9)</f>
        <v>635250</v>
      </c>
      <c r="H18" s="141">
        <f>G18*(1+$B$9)</f>
        <v>667012.5</v>
      </c>
      <c r="I18" s="216">
        <f>F18*1.2</f>
        <v>726000</v>
      </c>
      <c r="J18" s="141">
        <f>I18*(1+$B$9)</f>
        <v>762300</v>
      </c>
      <c r="K18" s="43">
        <f>J18*(1+$B$9)</f>
        <v>800415</v>
      </c>
    </row>
    <row r="19" spans="1:11" ht="18" customHeight="1" x14ac:dyDescent="0.25">
      <c r="A19" s="6" t="s">
        <v>150</v>
      </c>
      <c r="B19" s="31"/>
      <c r="C19" s="226">
        <f t="shared" ref="C19:K19" si="0">$B$6</f>
        <v>72</v>
      </c>
      <c r="D19" s="44">
        <f t="shared" si="0"/>
        <v>72</v>
      </c>
      <c r="E19" s="44">
        <f t="shared" si="0"/>
        <v>72</v>
      </c>
      <c r="F19" s="222">
        <f t="shared" si="0"/>
        <v>72</v>
      </c>
      <c r="G19" s="44">
        <f t="shared" si="0"/>
        <v>72</v>
      </c>
      <c r="H19" s="142">
        <f t="shared" si="0"/>
        <v>72</v>
      </c>
      <c r="I19" s="217">
        <f t="shared" si="0"/>
        <v>72</v>
      </c>
      <c r="J19" s="142">
        <f t="shared" si="0"/>
        <v>72</v>
      </c>
      <c r="K19" s="44">
        <f t="shared" si="0"/>
        <v>72</v>
      </c>
    </row>
    <row r="20" spans="1:11" ht="15" customHeight="1" x14ac:dyDescent="0.25">
      <c r="A20" s="6" t="s">
        <v>151</v>
      </c>
      <c r="B20" s="58"/>
      <c r="C20" s="227">
        <f t="shared" ref="C20:K20" si="1">$B$7</f>
        <v>36</v>
      </c>
      <c r="D20" s="56">
        <f t="shared" si="1"/>
        <v>36</v>
      </c>
      <c r="E20" s="56">
        <f t="shared" si="1"/>
        <v>36</v>
      </c>
      <c r="F20" s="223">
        <f t="shared" si="1"/>
        <v>36</v>
      </c>
      <c r="G20" s="56">
        <f t="shared" si="1"/>
        <v>36</v>
      </c>
      <c r="H20" s="143">
        <f t="shared" si="1"/>
        <v>36</v>
      </c>
      <c r="I20" s="218">
        <f t="shared" si="1"/>
        <v>36</v>
      </c>
      <c r="J20" s="143">
        <f t="shared" si="1"/>
        <v>36</v>
      </c>
      <c r="K20" s="56">
        <f t="shared" si="1"/>
        <v>36</v>
      </c>
    </row>
    <row r="21" spans="1:11" ht="18" customHeight="1" thickBot="1" x14ac:dyDescent="0.3">
      <c r="A21" s="23" t="s">
        <v>195</v>
      </c>
      <c r="B21" s="31"/>
      <c r="C21" s="224">
        <v>350</v>
      </c>
      <c r="D21" s="57">
        <v>350</v>
      </c>
      <c r="E21" s="57">
        <v>350</v>
      </c>
      <c r="F21" s="224">
        <v>350</v>
      </c>
      <c r="G21" s="57">
        <v>350</v>
      </c>
      <c r="H21" s="25">
        <v>350</v>
      </c>
      <c r="I21" s="219">
        <v>350</v>
      </c>
      <c r="J21" s="25">
        <v>350</v>
      </c>
      <c r="K21" s="57">
        <v>350</v>
      </c>
    </row>
    <row r="22" spans="1:11" ht="15" customHeight="1" x14ac:dyDescent="0.25">
      <c r="A22" s="1"/>
      <c r="B22" s="30"/>
      <c r="C22" s="29"/>
      <c r="D22" s="45"/>
      <c r="E22" s="29"/>
      <c r="F22" s="45"/>
      <c r="G22" s="34"/>
      <c r="H22" s="45"/>
      <c r="I22" s="29"/>
      <c r="J22" s="45"/>
      <c r="K22" s="45"/>
    </row>
    <row r="23" spans="1:11" ht="18" customHeight="1" x14ac:dyDescent="0.25">
      <c r="A23" s="28" t="s">
        <v>18</v>
      </c>
      <c r="B23" s="32"/>
      <c r="C23" s="21"/>
      <c r="D23" s="47"/>
      <c r="E23" s="21"/>
      <c r="F23" s="47"/>
      <c r="G23" s="36"/>
      <c r="H23" s="47"/>
      <c r="I23" s="21"/>
      <c r="J23" s="47"/>
      <c r="K23" s="47"/>
    </row>
    <row r="24" spans="1:11" ht="22.5" customHeight="1" x14ac:dyDescent="0.25">
      <c r="A24" s="23" t="s">
        <v>154</v>
      </c>
      <c r="B24" s="31"/>
      <c r="C24" s="4">
        <f t="shared" ref="C24:K24" si="2">C19*C17*C16*C21</f>
        <v>4233600000</v>
      </c>
      <c r="D24" s="46">
        <f t="shared" si="2"/>
        <v>5080320000</v>
      </c>
      <c r="E24" s="4">
        <f t="shared" si="2"/>
        <v>6001128000</v>
      </c>
      <c r="F24" s="46">
        <f t="shared" si="2"/>
        <v>6652800000</v>
      </c>
      <c r="G24" s="35">
        <f t="shared" si="2"/>
        <v>7683984000</v>
      </c>
      <c r="H24" s="46">
        <f t="shared" si="2"/>
        <v>8801654400</v>
      </c>
      <c r="I24" s="4">
        <f t="shared" si="2"/>
        <v>10378368000</v>
      </c>
      <c r="J24" s="46">
        <f t="shared" si="2"/>
        <v>11735539199.999998</v>
      </c>
      <c r="K24" s="46">
        <f t="shared" si="2"/>
        <v>13202481600</v>
      </c>
    </row>
    <row r="25" spans="1:11" ht="25.5" customHeight="1" thickBot="1" x14ac:dyDescent="0.3">
      <c r="A25" s="23" t="s">
        <v>155</v>
      </c>
      <c r="B25" s="33"/>
      <c r="C25" s="4">
        <f t="shared" ref="C25:K25" si="3">C20*C18*C16*C21</f>
        <v>2425500000</v>
      </c>
      <c r="D25" s="51">
        <f t="shared" si="3"/>
        <v>2910600000</v>
      </c>
      <c r="E25" s="4">
        <f t="shared" si="3"/>
        <v>3438146250</v>
      </c>
      <c r="F25" s="51">
        <f t="shared" si="3"/>
        <v>3811500000</v>
      </c>
      <c r="G25" s="37">
        <f t="shared" si="3"/>
        <v>4402282500.000001</v>
      </c>
      <c r="H25" s="51">
        <f t="shared" si="3"/>
        <v>5042614500</v>
      </c>
      <c r="I25" s="26">
        <f t="shared" si="3"/>
        <v>5945940000</v>
      </c>
      <c r="J25" s="51">
        <f t="shared" si="3"/>
        <v>6723486000</v>
      </c>
      <c r="K25" s="51">
        <f t="shared" si="3"/>
        <v>7563921750</v>
      </c>
    </row>
    <row r="26" spans="1:11" ht="23.25" customHeight="1" thickBot="1" x14ac:dyDescent="0.3">
      <c r="A26" s="182" t="s">
        <v>19</v>
      </c>
      <c r="B26" s="183"/>
      <c r="C26" s="184">
        <f t="shared" ref="C26:K26" si="4">C24+C25</f>
        <v>6659100000</v>
      </c>
      <c r="D26" s="185">
        <f t="shared" si="4"/>
        <v>7990920000</v>
      </c>
      <c r="E26" s="186">
        <f t="shared" si="4"/>
        <v>9439274250</v>
      </c>
      <c r="F26" s="187">
        <f t="shared" si="4"/>
        <v>10464300000</v>
      </c>
      <c r="G26" s="185">
        <f t="shared" si="4"/>
        <v>12086266500</v>
      </c>
      <c r="H26" s="188">
        <f t="shared" si="4"/>
        <v>13844268900</v>
      </c>
      <c r="I26" s="187">
        <f t="shared" si="4"/>
        <v>16324308000</v>
      </c>
      <c r="J26" s="185">
        <f t="shared" si="4"/>
        <v>18459025200</v>
      </c>
      <c r="K26" s="189">
        <f t="shared" si="4"/>
        <v>20766403350</v>
      </c>
    </row>
    <row r="27" spans="1:11" ht="17.25" customHeight="1" x14ac:dyDescent="0.25">
      <c r="A27" s="6"/>
      <c r="B27" s="31"/>
      <c r="C27" s="4"/>
      <c r="D27" s="45"/>
      <c r="E27" s="45"/>
      <c r="F27" s="45"/>
      <c r="G27" s="128"/>
      <c r="H27" s="45"/>
      <c r="I27" s="4"/>
      <c r="J27" s="45"/>
      <c r="K27" s="15"/>
    </row>
    <row r="28" spans="1:11" ht="15" customHeight="1" x14ac:dyDescent="0.25">
      <c r="A28" s="20" t="s">
        <v>20</v>
      </c>
      <c r="B28" s="32"/>
      <c r="C28" s="21"/>
      <c r="D28" s="47"/>
      <c r="E28" s="47"/>
      <c r="F28" s="47"/>
      <c r="G28" s="129"/>
      <c r="H28" s="47"/>
      <c r="I28" s="21"/>
      <c r="J28" s="47"/>
      <c r="K28" s="22"/>
    </row>
    <row r="29" spans="1:11" ht="15" customHeight="1" x14ac:dyDescent="0.25">
      <c r="A29" s="6" t="s">
        <v>71</v>
      </c>
      <c r="B29" s="125">
        <f>D97</f>
        <v>100195000</v>
      </c>
      <c r="C29" s="38">
        <f>$B29*12</f>
        <v>1202340000</v>
      </c>
      <c r="D29" s="48">
        <f>C29*(1+$B$10)</f>
        <v>1262457000</v>
      </c>
      <c r="E29" s="48">
        <f>D29*(1+$B$10)</f>
        <v>1325579850</v>
      </c>
      <c r="F29" s="48">
        <f>$B29*12</f>
        <v>1202340000</v>
      </c>
      <c r="G29" s="130">
        <f>F29*(1+$B$10)</f>
        <v>1262457000</v>
      </c>
      <c r="H29" s="48">
        <f>G29*(1+$B$10)</f>
        <v>1325579850</v>
      </c>
      <c r="I29" s="38">
        <f>$B29*12</f>
        <v>1202340000</v>
      </c>
      <c r="J29" s="48">
        <f>I29*(1+$B$10)</f>
        <v>1262457000</v>
      </c>
      <c r="K29" s="39">
        <f>J29*(1+$B$10)</f>
        <v>1325579850</v>
      </c>
    </row>
    <row r="30" spans="1:11" ht="15" customHeight="1" x14ac:dyDescent="0.25">
      <c r="A30" s="6" t="s">
        <v>170</v>
      </c>
      <c r="B30" s="127">
        <v>0.1</v>
      </c>
      <c r="C30" s="38">
        <f>+C29*$B$30</f>
        <v>120234000</v>
      </c>
      <c r="D30" s="48">
        <f t="shared" ref="D30:K30" si="5">+D29*$B$30</f>
        <v>126245700</v>
      </c>
      <c r="E30" s="48">
        <f t="shared" si="5"/>
        <v>132557985</v>
      </c>
      <c r="F30" s="48">
        <f t="shared" si="5"/>
        <v>120234000</v>
      </c>
      <c r="G30" s="38">
        <f t="shared" si="5"/>
        <v>126245700</v>
      </c>
      <c r="H30" s="48">
        <f t="shared" si="5"/>
        <v>132557985</v>
      </c>
      <c r="I30" s="38">
        <f t="shared" si="5"/>
        <v>120234000</v>
      </c>
      <c r="J30" s="48">
        <f t="shared" si="5"/>
        <v>126245700</v>
      </c>
      <c r="K30" s="38">
        <f t="shared" si="5"/>
        <v>132557985</v>
      </c>
    </row>
    <row r="31" spans="1:11" ht="15" customHeight="1" x14ac:dyDescent="0.25">
      <c r="A31" s="6" t="s">
        <v>72</v>
      </c>
      <c r="B31" s="31"/>
      <c r="C31" s="38">
        <f t="shared" ref="C31:K31" si="6">SUM(C32:C35)</f>
        <v>492000000</v>
      </c>
      <c r="D31" s="48">
        <f t="shared" si="6"/>
        <v>516600000</v>
      </c>
      <c r="E31" s="48">
        <f t="shared" si="6"/>
        <v>542430000</v>
      </c>
      <c r="F31" s="48">
        <f t="shared" si="6"/>
        <v>492000000</v>
      </c>
      <c r="G31" s="130">
        <f t="shared" si="6"/>
        <v>516600000</v>
      </c>
      <c r="H31" s="48">
        <f t="shared" si="6"/>
        <v>542430000</v>
      </c>
      <c r="I31" s="38">
        <f t="shared" si="6"/>
        <v>492000000</v>
      </c>
      <c r="J31" s="48">
        <f t="shared" si="6"/>
        <v>516600000</v>
      </c>
      <c r="K31" s="39">
        <f t="shared" si="6"/>
        <v>542430000</v>
      </c>
    </row>
    <row r="32" spans="1:11" ht="15" customHeight="1" x14ac:dyDescent="0.25">
      <c r="A32" s="6" t="s">
        <v>21</v>
      </c>
      <c r="B32" s="125">
        <v>25000000</v>
      </c>
      <c r="C32" s="4">
        <f>$B32*12</f>
        <v>300000000</v>
      </c>
      <c r="D32" s="46">
        <f t="shared" ref="D32:E35" si="7">C32*(1+$B$10)</f>
        <v>315000000</v>
      </c>
      <c r="E32" s="46">
        <f t="shared" si="7"/>
        <v>330750000</v>
      </c>
      <c r="F32" s="46">
        <f>$B32*12</f>
        <v>300000000</v>
      </c>
      <c r="G32" s="128">
        <f t="shared" ref="G32:H35" si="8">F32*(1+$B$10)</f>
        <v>315000000</v>
      </c>
      <c r="H32" s="46">
        <f t="shared" si="8"/>
        <v>330750000</v>
      </c>
      <c r="I32" s="4">
        <f>$B32*12</f>
        <v>300000000</v>
      </c>
      <c r="J32" s="46">
        <f t="shared" ref="J32:K35" si="9">I32*(1+$B$10)</f>
        <v>315000000</v>
      </c>
      <c r="K32" s="15">
        <f t="shared" si="9"/>
        <v>330750000</v>
      </c>
    </row>
    <row r="33" spans="1:11" ht="15" customHeight="1" x14ac:dyDescent="0.25">
      <c r="A33" s="6" t="s">
        <v>22</v>
      </c>
      <c r="B33" s="125">
        <v>10000000</v>
      </c>
      <c r="C33" s="4">
        <f>$B33*12</f>
        <v>120000000</v>
      </c>
      <c r="D33" s="46">
        <f t="shared" si="7"/>
        <v>126000000</v>
      </c>
      <c r="E33" s="46">
        <f t="shared" si="7"/>
        <v>132300000</v>
      </c>
      <c r="F33" s="46">
        <f>$B33*12</f>
        <v>120000000</v>
      </c>
      <c r="G33" s="128">
        <f t="shared" si="8"/>
        <v>126000000</v>
      </c>
      <c r="H33" s="46">
        <f t="shared" si="8"/>
        <v>132300000</v>
      </c>
      <c r="I33" s="4">
        <f>$B33*12</f>
        <v>120000000</v>
      </c>
      <c r="J33" s="46">
        <f t="shared" si="9"/>
        <v>126000000</v>
      </c>
      <c r="K33" s="15">
        <f t="shared" si="9"/>
        <v>132300000</v>
      </c>
    </row>
    <row r="34" spans="1:11" ht="18" customHeight="1" x14ac:dyDescent="0.25">
      <c r="A34" s="6" t="s">
        <v>23</v>
      </c>
      <c r="B34" s="125">
        <v>3000000</v>
      </c>
      <c r="C34" s="4">
        <f>$B34*12</f>
        <v>36000000</v>
      </c>
      <c r="D34" s="46">
        <f t="shared" si="7"/>
        <v>37800000</v>
      </c>
      <c r="E34" s="46">
        <f t="shared" si="7"/>
        <v>39690000</v>
      </c>
      <c r="F34" s="46">
        <f>$B34*12</f>
        <v>36000000</v>
      </c>
      <c r="G34" s="128">
        <f t="shared" si="8"/>
        <v>37800000</v>
      </c>
      <c r="H34" s="46">
        <f t="shared" si="8"/>
        <v>39690000</v>
      </c>
      <c r="I34" s="4">
        <f>$B34*12</f>
        <v>36000000</v>
      </c>
      <c r="J34" s="46">
        <f t="shared" si="9"/>
        <v>37800000</v>
      </c>
      <c r="K34" s="15">
        <f t="shared" si="9"/>
        <v>39690000</v>
      </c>
    </row>
    <row r="35" spans="1:11" ht="15" customHeight="1" x14ac:dyDescent="0.25">
      <c r="A35" s="6" t="s">
        <v>24</v>
      </c>
      <c r="B35" s="125">
        <v>3000000</v>
      </c>
      <c r="C35" s="4">
        <f>$B35*12</f>
        <v>36000000</v>
      </c>
      <c r="D35" s="46">
        <f t="shared" si="7"/>
        <v>37800000</v>
      </c>
      <c r="E35" s="46">
        <f t="shared" si="7"/>
        <v>39690000</v>
      </c>
      <c r="F35" s="46">
        <f>$B35*12</f>
        <v>36000000</v>
      </c>
      <c r="G35" s="128">
        <f t="shared" si="8"/>
        <v>37800000</v>
      </c>
      <c r="H35" s="46">
        <f t="shared" si="8"/>
        <v>39690000</v>
      </c>
      <c r="I35" s="4">
        <f>$B35*12</f>
        <v>36000000</v>
      </c>
      <c r="J35" s="46">
        <f t="shared" si="9"/>
        <v>37800000</v>
      </c>
      <c r="K35" s="15">
        <f t="shared" si="9"/>
        <v>39690000</v>
      </c>
    </row>
    <row r="36" spans="1:11" ht="15" customHeight="1" thickBot="1" x14ac:dyDescent="0.3">
      <c r="A36" s="6"/>
      <c r="B36" s="126"/>
      <c r="C36" s="4"/>
      <c r="D36" s="46"/>
      <c r="E36" s="46"/>
      <c r="F36" s="46"/>
      <c r="G36" s="128"/>
      <c r="H36" s="46"/>
      <c r="I36" s="4"/>
      <c r="J36" s="46"/>
      <c r="K36" s="15"/>
    </row>
    <row r="37" spans="1:11" ht="15" customHeight="1" thickBot="1" x14ac:dyDescent="0.3">
      <c r="A37" s="157" t="s">
        <v>0</v>
      </c>
      <c r="B37" s="158"/>
      <c r="C37" s="159">
        <f t="shared" ref="C37:K37" si="10">SUM(C38:C40)</f>
        <v>72000000</v>
      </c>
      <c r="D37" s="160">
        <f t="shared" si="10"/>
        <v>75600000</v>
      </c>
      <c r="E37" s="160">
        <f t="shared" si="10"/>
        <v>79380000</v>
      </c>
      <c r="F37" s="160">
        <f t="shared" si="10"/>
        <v>72000000</v>
      </c>
      <c r="G37" s="159">
        <f t="shared" si="10"/>
        <v>75600000</v>
      </c>
      <c r="H37" s="160">
        <f t="shared" si="10"/>
        <v>79380000</v>
      </c>
      <c r="I37" s="159">
        <f t="shared" si="10"/>
        <v>72000000</v>
      </c>
      <c r="J37" s="160">
        <f t="shared" si="10"/>
        <v>75600000</v>
      </c>
      <c r="K37" s="161">
        <f t="shared" si="10"/>
        <v>79380000</v>
      </c>
    </row>
    <row r="38" spans="1:11" ht="15" customHeight="1" x14ac:dyDescent="0.25">
      <c r="A38" s="6" t="s">
        <v>1</v>
      </c>
      <c r="B38" s="125">
        <v>4000000</v>
      </c>
      <c r="C38" s="4">
        <f>$B38*12</f>
        <v>48000000</v>
      </c>
      <c r="D38" s="46">
        <f t="shared" ref="D38:E40" si="11">C38*(1+$B$10)</f>
        <v>50400000</v>
      </c>
      <c r="E38" s="46">
        <f t="shared" si="11"/>
        <v>52920000</v>
      </c>
      <c r="F38" s="46">
        <f>$B38*12</f>
        <v>48000000</v>
      </c>
      <c r="G38" s="128">
        <f t="shared" ref="G38:H40" si="12">F38*(1+$B$10)</f>
        <v>50400000</v>
      </c>
      <c r="H38" s="46">
        <f t="shared" si="12"/>
        <v>52920000</v>
      </c>
      <c r="I38" s="4">
        <f>$B38*12</f>
        <v>48000000</v>
      </c>
      <c r="J38" s="46">
        <f t="shared" ref="J38:K40" si="13">I38*(1+$B$10)</f>
        <v>50400000</v>
      </c>
      <c r="K38" s="15">
        <f t="shared" si="13"/>
        <v>52920000</v>
      </c>
    </row>
    <row r="39" spans="1:11" ht="15" customHeight="1" x14ac:dyDescent="0.25">
      <c r="A39" s="6" t="s">
        <v>25</v>
      </c>
      <c r="B39" s="125">
        <v>2000000</v>
      </c>
      <c r="C39" s="4">
        <f>$B39*12</f>
        <v>24000000</v>
      </c>
      <c r="D39" s="46">
        <f t="shared" si="11"/>
        <v>25200000</v>
      </c>
      <c r="E39" s="46">
        <f t="shared" si="11"/>
        <v>26460000</v>
      </c>
      <c r="F39" s="46">
        <f>$B39*12</f>
        <v>24000000</v>
      </c>
      <c r="G39" s="128">
        <f t="shared" si="12"/>
        <v>25200000</v>
      </c>
      <c r="H39" s="46">
        <f t="shared" si="12"/>
        <v>26460000</v>
      </c>
      <c r="I39" s="4">
        <f>$B39*12</f>
        <v>24000000</v>
      </c>
      <c r="J39" s="46">
        <f t="shared" si="13"/>
        <v>25200000</v>
      </c>
      <c r="K39" s="15">
        <f t="shared" si="13"/>
        <v>26460000</v>
      </c>
    </row>
    <row r="40" spans="1:11" x14ac:dyDescent="0.25">
      <c r="A40" s="151" t="s">
        <v>188</v>
      </c>
      <c r="B40" s="150">
        <v>0</v>
      </c>
      <c r="C40" s="4">
        <f>$B40*12</f>
        <v>0</v>
      </c>
      <c r="D40" s="46">
        <f t="shared" si="11"/>
        <v>0</v>
      </c>
      <c r="E40" s="46">
        <f t="shared" si="11"/>
        <v>0</v>
      </c>
      <c r="F40" s="46">
        <f>$B40*12</f>
        <v>0</v>
      </c>
      <c r="G40" s="128">
        <f t="shared" si="12"/>
        <v>0</v>
      </c>
      <c r="H40" s="46">
        <f t="shared" si="12"/>
        <v>0</v>
      </c>
      <c r="I40" s="4">
        <f>$B40*12</f>
        <v>0</v>
      </c>
      <c r="J40" s="46">
        <f t="shared" si="13"/>
        <v>0</v>
      </c>
      <c r="K40" s="15">
        <f t="shared" si="13"/>
        <v>0</v>
      </c>
    </row>
    <row r="41" spans="1:11" ht="15" customHeight="1" x14ac:dyDescent="0.25">
      <c r="A41" s="151" t="s">
        <v>189</v>
      </c>
      <c r="B41" s="150">
        <v>0</v>
      </c>
      <c r="C41" s="4">
        <f t="shared" ref="C41:C45" si="14">$B41*12</f>
        <v>0</v>
      </c>
      <c r="D41" s="46">
        <f t="shared" ref="D41:D45" si="15">C41*(1+$B$10)</f>
        <v>0</v>
      </c>
      <c r="E41" s="46">
        <f t="shared" ref="E41:E45" si="16">D41*(1+$B$10)</f>
        <v>0</v>
      </c>
      <c r="F41" s="46">
        <f t="shared" ref="F41:F45" si="17">$B41*12</f>
        <v>0</v>
      </c>
      <c r="G41" s="128">
        <f t="shared" ref="G41:G45" si="18">F41*(1+$B$10)</f>
        <v>0</v>
      </c>
      <c r="H41" s="46">
        <f t="shared" ref="H41:H45" si="19">G41*(1+$B$10)</f>
        <v>0</v>
      </c>
      <c r="I41" s="4">
        <f t="shared" ref="I41:I45" si="20">$B41*12</f>
        <v>0</v>
      </c>
      <c r="J41" s="46">
        <f t="shared" ref="J41:J45" si="21">I41*(1+$B$10)</f>
        <v>0</v>
      </c>
      <c r="K41" s="15">
        <f t="shared" ref="K41:K45" si="22">J41*(1+$B$10)</f>
        <v>0</v>
      </c>
    </row>
    <row r="42" spans="1:11" ht="15" customHeight="1" x14ac:dyDescent="0.25">
      <c r="A42" s="152" t="s">
        <v>190</v>
      </c>
      <c r="B42" s="150">
        <v>0</v>
      </c>
      <c r="C42" s="4">
        <f t="shared" si="14"/>
        <v>0</v>
      </c>
      <c r="D42" s="46">
        <f t="shared" si="15"/>
        <v>0</v>
      </c>
      <c r="E42" s="46">
        <f t="shared" si="16"/>
        <v>0</v>
      </c>
      <c r="F42" s="46">
        <f t="shared" si="17"/>
        <v>0</v>
      </c>
      <c r="G42" s="128">
        <f t="shared" si="18"/>
        <v>0</v>
      </c>
      <c r="H42" s="46">
        <f t="shared" si="19"/>
        <v>0</v>
      </c>
      <c r="I42" s="4">
        <f t="shared" si="20"/>
        <v>0</v>
      </c>
      <c r="J42" s="46">
        <f t="shared" si="21"/>
        <v>0</v>
      </c>
      <c r="K42" s="15">
        <f t="shared" si="22"/>
        <v>0</v>
      </c>
    </row>
    <row r="43" spans="1:11" ht="15" customHeight="1" x14ac:dyDescent="0.25">
      <c r="A43" s="152" t="s">
        <v>191</v>
      </c>
      <c r="B43" s="150">
        <v>0</v>
      </c>
      <c r="C43" s="4">
        <f t="shared" si="14"/>
        <v>0</v>
      </c>
      <c r="D43" s="46">
        <f t="shared" si="15"/>
        <v>0</v>
      </c>
      <c r="E43" s="46">
        <f t="shared" si="16"/>
        <v>0</v>
      </c>
      <c r="F43" s="46">
        <f t="shared" si="17"/>
        <v>0</v>
      </c>
      <c r="G43" s="128">
        <f t="shared" si="18"/>
        <v>0</v>
      </c>
      <c r="H43" s="46">
        <f t="shared" si="19"/>
        <v>0</v>
      </c>
      <c r="I43" s="4">
        <f t="shared" si="20"/>
        <v>0</v>
      </c>
      <c r="J43" s="46">
        <f t="shared" si="21"/>
        <v>0</v>
      </c>
      <c r="K43" s="15">
        <f t="shared" si="22"/>
        <v>0</v>
      </c>
    </row>
    <row r="44" spans="1:11" ht="15" customHeight="1" x14ac:dyDescent="0.25">
      <c r="A44" s="152" t="s">
        <v>193</v>
      </c>
      <c r="B44" s="150">
        <v>0</v>
      </c>
      <c r="C44" s="4">
        <f t="shared" si="14"/>
        <v>0</v>
      </c>
      <c r="D44" s="46">
        <f t="shared" si="15"/>
        <v>0</v>
      </c>
      <c r="E44" s="46">
        <f t="shared" si="16"/>
        <v>0</v>
      </c>
      <c r="F44" s="46">
        <f t="shared" si="17"/>
        <v>0</v>
      </c>
      <c r="G44" s="128">
        <f t="shared" si="18"/>
        <v>0</v>
      </c>
      <c r="H44" s="46">
        <f t="shared" si="19"/>
        <v>0</v>
      </c>
      <c r="I44" s="4">
        <f t="shared" si="20"/>
        <v>0</v>
      </c>
      <c r="J44" s="46">
        <f t="shared" si="21"/>
        <v>0</v>
      </c>
      <c r="K44" s="15">
        <f t="shared" si="22"/>
        <v>0</v>
      </c>
    </row>
    <row r="45" spans="1:11" ht="15" customHeight="1" thickBot="1" x14ac:dyDescent="0.3">
      <c r="A45" s="152" t="s">
        <v>192</v>
      </c>
      <c r="B45" s="150">
        <v>0</v>
      </c>
      <c r="C45" s="4">
        <f t="shared" si="14"/>
        <v>0</v>
      </c>
      <c r="D45" s="46">
        <f t="shared" si="15"/>
        <v>0</v>
      </c>
      <c r="E45" s="46">
        <f t="shared" si="16"/>
        <v>0</v>
      </c>
      <c r="F45" s="46">
        <f t="shared" si="17"/>
        <v>0</v>
      </c>
      <c r="G45" s="128">
        <f t="shared" si="18"/>
        <v>0</v>
      </c>
      <c r="H45" s="46">
        <f t="shared" si="19"/>
        <v>0</v>
      </c>
      <c r="I45" s="4">
        <f t="shared" si="20"/>
        <v>0</v>
      </c>
      <c r="J45" s="46">
        <f t="shared" si="21"/>
        <v>0</v>
      </c>
      <c r="K45" s="15">
        <f t="shared" si="22"/>
        <v>0</v>
      </c>
    </row>
    <row r="46" spans="1:11" ht="15" customHeight="1" thickBot="1" x14ac:dyDescent="0.3">
      <c r="A46" s="162" t="s">
        <v>2</v>
      </c>
      <c r="B46" s="163"/>
      <c r="C46" s="164">
        <f>SUM(C47:C50)</f>
        <v>396000000</v>
      </c>
      <c r="D46" s="69">
        <f>SUM(D47:D50)</f>
        <v>415800000</v>
      </c>
      <c r="E46" s="69">
        <f>SUM(E47:E50)</f>
        <v>436590000</v>
      </c>
      <c r="F46" s="69">
        <f>SUM(F47:F50)</f>
        <v>396000000</v>
      </c>
      <c r="G46" s="164">
        <f>SUM(G47:G50)</f>
        <v>415800000</v>
      </c>
      <c r="H46" s="69">
        <f>SUM(H47:H50)</f>
        <v>436590000</v>
      </c>
      <c r="I46" s="164">
        <f>SUM(I47:I50)</f>
        <v>396000000</v>
      </c>
      <c r="J46" s="69">
        <f>SUM(J47:J50)</f>
        <v>415800000</v>
      </c>
      <c r="K46" s="165">
        <f>SUM(K47:K50)</f>
        <v>436590000</v>
      </c>
    </row>
    <row r="47" spans="1:11" ht="15" customHeight="1" x14ac:dyDescent="0.25">
      <c r="A47" s="6" t="s">
        <v>26</v>
      </c>
      <c r="B47" s="125">
        <v>2000000</v>
      </c>
      <c r="C47" s="4">
        <f>$B47*12</f>
        <v>24000000</v>
      </c>
      <c r="D47" s="46">
        <f t="shared" ref="D47:E50" si="23">C47*(1+$B$10)</f>
        <v>25200000</v>
      </c>
      <c r="E47" s="46">
        <f t="shared" si="23"/>
        <v>26460000</v>
      </c>
      <c r="F47" s="46">
        <f>$B47*12</f>
        <v>24000000</v>
      </c>
      <c r="G47" s="128">
        <f t="shared" ref="G47:H50" si="24">F47*(1+$B$10)</f>
        <v>25200000</v>
      </c>
      <c r="H47" s="46">
        <f t="shared" si="24"/>
        <v>26460000</v>
      </c>
      <c r="I47" s="4">
        <f>$B47*12</f>
        <v>24000000</v>
      </c>
      <c r="J47" s="46">
        <f t="shared" ref="J47:K50" si="25">I47*(1+$B$10)</f>
        <v>25200000</v>
      </c>
      <c r="K47" s="15">
        <f t="shared" si="25"/>
        <v>26460000</v>
      </c>
    </row>
    <row r="48" spans="1:11" x14ac:dyDescent="0.25">
      <c r="A48" s="6" t="s">
        <v>27</v>
      </c>
      <c r="B48" s="125">
        <v>10000000</v>
      </c>
      <c r="C48" s="4">
        <f>$B48*12</f>
        <v>120000000</v>
      </c>
      <c r="D48" s="46">
        <f t="shared" si="23"/>
        <v>126000000</v>
      </c>
      <c r="E48" s="46">
        <f t="shared" si="23"/>
        <v>132300000</v>
      </c>
      <c r="F48" s="46">
        <f>$B48*12</f>
        <v>120000000</v>
      </c>
      <c r="G48" s="128">
        <f t="shared" si="24"/>
        <v>126000000</v>
      </c>
      <c r="H48" s="46">
        <f t="shared" si="24"/>
        <v>132300000</v>
      </c>
      <c r="I48" s="4">
        <f>$B48*12</f>
        <v>120000000</v>
      </c>
      <c r="J48" s="46">
        <f t="shared" si="25"/>
        <v>126000000</v>
      </c>
      <c r="K48" s="15">
        <f t="shared" si="25"/>
        <v>132300000</v>
      </c>
    </row>
    <row r="49" spans="1:11" x14ac:dyDescent="0.25">
      <c r="A49" s="6" t="s">
        <v>28</v>
      </c>
      <c r="B49" s="125">
        <v>15000000</v>
      </c>
      <c r="C49" s="4">
        <f>$B49*12</f>
        <v>180000000</v>
      </c>
      <c r="D49" s="46">
        <f t="shared" si="23"/>
        <v>189000000</v>
      </c>
      <c r="E49" s="46">
        <f t="shared" si="23"/>
        <v>198450000</v>
      </c>
      <c r="F49" s="46">
        <f>$B49*12</f>
        <v>180000000</v>
      </c>
      <c r="G49" s="128">
        <f t="shared" si="24"/>
        <v>189000000</v>
      </c>
      <c r="H49" s="46">
        <f t="shared" si="24"/>
        <v>198450000</v>
      </c>
      <c r="I49" s="4">
        <f>$B49*12</f>
        <v>180000000</v>
      </c>
      <c r="J49" s="46">
        <f t="shared" si="25"/>
        <v>189000000</v>
      </c>
      <c r="K49" s="15">
        <f t="shared" si="25"/>
        <v>198450000</v>
      </c>
    </row>
    <row r="50" spans="1:11" ht="15" customHeight="1" thickBot="1" x14ac:dyDescent="0.3">
      <c r="A50" s="6" t="s">
        <v>29</v>
      </c>
      <c r="B50" s="125">
        <v>6000000</v>
      </c>
      <c r="C50" s="4">
        <f>$B50*12</f>
        <v>72000000</v>
      </c>
      <c r="D50" s="46">
        <f t="shared" si="23"/>
        <v>75600000</v>
      </c>
      <c r="E50" s="46">
        <f t="shared" si="23"/>
        <v>79380000</v>
      </c>
      <c r="F50" s="46">
        <f>$B50*12</f>
        <v>72000000</v>
      </c>
      <c r="G50" s="128">
        <f t="shared" si="24"/>
        <v>75600000</v>
      </c>
      <c r="H50" s="46">
        <f t="shared" si="24"/>
        <v>79380000</v>
      </c>
      <c r="I50" s="4">
        <f>$B50*12</f>
        <v>72000000</v>
      </c>
      <c r="J50" s="46">
        <f t="shared" si="25"/>
        <v>75600000</v>
      </c>
      <c r="K50" s="15">
        <f t="shared" si="25"/>
        <v>79380000</v>
      </c>
    </row>
    <row r="51" spans="1:11" ht="15" customHeight="1" thickBot="1" x14ac:dyDescent="0.3">
      <c r="A51" s="163" t="s">
        <v>59</v>
      </c>
      <c r="B51" s="166">
        <v>0.01</v>
      </c>
      <c r="C51" s="164">
        <f>C$26*$B51</f>
        <v>66591000</v>
      </c>
      <c r="D51" s="69">
        <f t="shared" ref="D51:K51" si="26">D$26*$B51</f>
        <v>79909200</v>
      </c>
      <c r="E51" s="69">
        <f t="shared" si="26"/>
        <v>94392742.5</v>
      </c>
      <c r="F51" s="69">
        <f t="shared" si="26"/>
        <v>104643000</v>
      </c>
      <c r="G51" s="164">
        <f t="shared" si="26"/>
        <v>120862665</v>
      </c>
      <c r="H51" s="69">
        <f t="shared" si="26"/>
        <v>138442689</v>
      </c>
      <c r="I51" s="164">
        <f t="shared" si="26"/>
        <v>163243080</v>
      </c>
      <c r="J51" s="69">
        <f t="shared" si="26"/>
        <v>184590252</v>
      </c>
      <c r="K51" s="165">
        <f t="shared" si="26"/>
        <v>207664033.5</v>
      </c>
    </row>
    <row r="52" spans="1:11" s="268" customFormat="1" ht="15" customHeight="1" thickBot="1" x14ac:dyDescent="0.3">
      <c r="A52" s="144" t="s">
        <v>60</v>
      </c>
      <c r="B52" s="263">
        <v>0</v>
      </c>
      <c r="C52" s="264">
        <v>0</v>
      </c>
      <c r="D52" s="265">
        <v>0</v>
      </c>
      <c r="E52" s="265">
        <v>0</v>
      </c>
      <c r="F52" s="265">
        <f>$B52*12</f>
        <v>0</v>
      </c>
      <c r="G52" s="266">
        <f t="shared" ref="G52:H54" si="27">F52*(1+$B$10)</f>
        <v>0</v>
      </c>
      <c r="H52" s="265">
        <f t="shared" si="27"/>
        <v>0</v>
      </c>
      <c r="I52" s="264">
        <f>$B52*12</f>
        <v>0</v>
      </c>
      <c r="J52" s="265">
        <f t="shared" ref="J52:K54" si="28">I52*(1+$B$10)</f>
        <v>0</v>
      </c>
      <c r="K52" s="267">
        <f t="shared" si="28"/>
        <v>0</v>
      </c>
    </row>
    <row r="53" spans="1:11" ht="15" customHeight="1" thickBot="1" x14ac:dyDescent="0.3">
      <c r="A53" s="163" t="s">
        <v>61</v>
      </c>
      <c r="B53" s="167">
        <f>500000*($B$6+$B$7)</f>
        <v>54000000</v>
      </c>
      <c r="C53" s="164">
        <f>$B53*12</f>
        <v>648000000</v>
      </c>
      <c r="D53" s="69">
        <f t="shared" ref="D52:E54" si="29">C53*(1+$B$10)</f>
        <v>680400000</v>
      </c>
      <c r="E53" s="69">
        <f t="shared" si="29"/>
        <v>714420000</v>
      </c>
      <c r="F53" s="69">
        <f>$B53*12</f>
        <v>648000000</v>
      </c>
      <c r="G53" s="164">
        <f t="shared" si="27"/>
        <v>680400000</v>
      </c>
      <c r="H53" s="69">
        <f t="shared" si="27"/>
        <v>714420000</v>
      </c>
      <c r="I53" s="164">
        <f>$B53*12</f>
        <v>648000000</v>
      </c>
      <c r="J53" s="69">
        <f t="shared" si="28"/>
        <v>680400000</v>
      </c>
      <c r="K53" s="165">
        <f t="shared" si="28"/>
        <v>714420000</v>
      </c>
    </row>
    <row r="54" spans="1:11" ht="15" customHeight="1" thickBot="1" x14ac:dyDescent="0.3">
      <c r="A54" s="146" t="s">
        <v>62</v>
      </c>
      <c r="B54" s="147">
        <v>3000000</v>
      </c>
      <c r="C54" s="12">
        <f>$B54*12</f>
        <v>36000000</v>
      </c>
      <c r="D54" s="49">
        <f t="shared" si="29"/>
        <v>37800000</v>
      </c>
      <c r="E54" s="49">
        <f t="shared" si="29"/>
        <v>39690000</v>
      </c>
      <c r="F54" s="49">
        <f>$B54*12</f>
        <v>36000000</v>
      </c>
      <c r="G54" s="115">
        <f t="shared" si="27"/>
        <v>37800000</v>
      </c>
      <c r="H54" s="49">
        <f t="shared" si="27"/>
        <v>39690000</v>
      </c>
      <c r="I54" s="12">
        <f>$B54*12</f>
        <v>36000000</v>
      </c>
      <c r="J54" s="49">
        <f t="shared" si="28"/>
        <v>37800000</v>
      </c>
      <c r="K54" s="16">
        <f t="shared" si="28"/>
        <v>39690000</v>
      </c>
    </row>
    <row r="55" spans="1:11" ht="15" customHeight="1" thickBot="1" x14ac:dyDescent="0.3">
      <c r="A55" s="172" t="s">
        <v>73</v>
      </c>
      <c r="B55" s="212">
        <v>7000000</v>
      </c>
      <c r="C55" s="169">
        <f>$B55*12</f>
        <v>84000000</v>
      </c>
      <c r="D55" s="170">
        <f>C55*(1+$B$10)</f>
        <v>88200000</v>
      </c>
      <c r="E55" s="170">
        <f>D55*(1+$B$10)</f>
        <v>92610000</v>
      </c>
      <c r="F55" s="170">
        <f>$B55*12</f>
        <v>84000000</v>
      </c>
      <c r="G55" s="169">
        <f>F55*(1+$B$10)</f>
        <v>88200000</v>
      </c>
      <c r="H55" s="170">
        <f>G55*(1+$B$10)</f>
        <v>92610000</v>
      </c>
      <c r="I55" s="169">
        <f>$B55*12</f>
        <v>84000000</v>
      </c>
      <c r="J55" s="170">
        <f>I55*(1+$B$10)</f>
        <v>88200000</v>
      </c>
      <c r="K55" s="171">
        <f>J55*(1+$B$10)</f>
        <v>92610000</v>
      </c>
    </row>
    <row r="56" spans="1:11" ht="15" customHeight="1" thickBot="1" x14ac:dyDescent="0.3">
      <c r="A56" s="172" t="s">
        <v>74</v>
      </c>
      <c r="B56" s="213">
        <v>3000000</v>
      </c>
      <c r="C56" s="153">
        <f>$B56*12</f>
        <v>36000000</v>
      </c>
      <c r="D56" s="154">
        <f>C56*(1+$B$10)</f>
        <v>37800000</v>
      </c>
      <c r="E56" s="154">
        <f>D56*(1+$B$10)</f>
        <v>39690000</v>
      </c>
      <c r="F56" s="154">
        <f>$B56*12</f>
        <v>36000000</v>
      </c>
      <c r="G56" s="153">
        <f>F56*(1+$B$10)</f>
        <v>37800000</v>
      </c>
      <c r="H56" s="154">
        <f>G56*(1+$B$10)</f>
        <v>39690000</v>
      </c>
      <c r="I56" s="153">
        <f>$B56*12</f>
        <v>36000000</v>
      </c>
      <c r="J56" s="154">
        <f>I56*(1+$B$10)</f>
        <v>37800000</v>
      </c>
      <c r="K56" s="160">
        <f>J56*(1+$B$10)</f>
        <v>39690000</v>
      </c>
    </row>
    <row r="57" spans="1:11" ht="15" customHeight="1" thickBot="1" x14ac:dyDescent="0.3">
      <c r="A57" s="163" t="s">
        <v>64</v>
      </c>
      <c r="B57" s="168">
        <v>0.03</v>
      </c>
      <c r="C57" s="164">
        <f>C$26*$B57</f>
        <v>199773000</v>
      </c>
      <c r="D57" s="69">
        <f t="shared" ref="D57:K57" si="30">D$26*$B57</f>
        <v>239727600</v>
      </c>
      <c r="E57" s="69">
        <f t="shared" si="30"/>
        <v>283178227.5</v>
      </c>
      <c r="F57" s="69">
        <f t="shared" si="30"/>
        <v>313929000</v>
      </c>
      <c r="G57" s="164">
        <f t="shared" si="30"/>
        <v>362587995</v>
      </c>
      <c r="H57" s="69">
        <f t="shared" si="30"/>
        <v>415328067</v>
      </c>
      <c r="I57" s="164">
        <f t="shared" si="30"/>
        <v>489729240</v>
      </c>
      <c r="J57" s="69">
        <f t="shared" si="30"/>
        <v>553770756</v>
      </c>
      <c r="K57" s="165">
        <f t="shared" si="30"/>
        <v>622992100.5</v>
      </c>
    </row>
    <row r="58" spans="1:11" ht="15" customHeight="1" thickBot="1" x14ac:dyDescent="0.3">
      <c r="A58" s="54" t="s">
        <v>140</v>
      </c>
      <c r="B58" s="214">
        <f>B131</f>
        <v>32000000</v>
      </c>
      <c r="C58" s="4">
        <f>$B58*12</f>
        <v>384000000</v>
      </c>
      <c r="D58" s="46">
        <f>C58*(1+$B$10)</f>
        <v>403200000</v>
      </c>
      <c r="E58" s="46">
        <f>D58*(1+$B$10)</f>
        <v>423360000</v>
      </c>
      <c r="F58" s="46">
        <f>$B58*12</f>
        <v>384000000</v>
      </c>
      <c r="G58" s="128">
        <f>F58*(1+$B$10)</f>
        <v>403200000</v>
      </c>
      <c r="H58" s="46">
        <f>G58*(1+$B$10)</f>
        <v>423360000</v>
      </c>
      <c r="I58" s="4">
        <f>$B58*12</f>
        <v>384000000</v>
      </c>
      <c r="J58" s="46">
        <f>I58*(1+$B$10)</f>
        <v>403200000</v>
      </c>
      <c r="K58" s="15">
        <f>J58*(1+$B$10)</f>
        <v>423360000</v>
      </c>
    </row>
    <row r="59" spans="1:11" ht="15.75" thickBot="1" x14ac:dyDescent="0.3">
      <c r="A59" s="162" t="s">
        <v>3</v>
      </c>
      <c r="B59" s="173"/>
      <c r="C59" s="164">
        <f>SUM(C60:C61)</f>
        <v>240000000</v>
      </c>
      <c r="D59" s="164">
        <f t="shared" ref="D59:K59" si="31">SUM(D60:D61)</f>
        <v>252000000</v>
      </c>
      <c r="E59" s="164">
        <f t="shared" si="31"/>
        <v>264600000</v>
      </c>
      <c r="F59" s="164">
        <f t="shared" si="31"/>
        <v>240000000</v>
      </c>
      <c r="G59" s="164">
        <f t="shared" si="31"/>
        <v>252000000</v>
      </c>
      <c r="H59" s="164">
        <f t="shared" si="31"/>
        <v>264600000</v>
      </c>
      <c r="I59" s="164">
        <f t="shared" si="31"/>
        <v>240000000</v>
      </c>
      <c r="J59" s="164">
        <f t="shared" si="31"/>
        <v>252000000</v>
      </c>
      <c r="K59" s="164">
        <f t="shared" si="31"/>
        <v>264600000</v>
      </c>
    </row>
    <row r="60" spans="1:11" ht="15" customHeight="1" x14ac:dyDescent="0.25">
      <c r="A60" s="6" t="s">
        <v>183</v>
      </c>
      <c r="B60" s="125">
        <v>14000000</v>
      </c>
      <c r="C60" s="4">
        <f>$B60*12</f>
        <v>168000000</v>
      </c>
      <c r="D60" s="46">
        <f>C60*(1+$B$10)</f>
        <v>176400000</v>
      </c>
      <c r="E60" s="46">
        <f>D60*(1+$B$10)</f>
        <v>185220000</v>
      </c>
      <c r="F60" s="46">
        <f>$B60*12</f>
        <v>168000000</v>
      </c>
      <c r="G60" s="128">
        <f>F60*(1+$B$10)</f>
        <v>176400000</v>
      </c>
      <c r="H60" s="46">
        <f>G60*(1+$B$10)</f>
        <v>185220000</v>
      </c>
      <c r="I60" s="4">
        <f>$B60*12</f>
        <v>168000000</v>
      </c>
      <c r="J60" s="46">
        <f>I60*(1+$B$10)</f>
        <v>176400000</v>
      </c>
      <c r="K60" s="15">
        <f>J60*(1+$B$10)</f>
        <v>185220000</v>
      </c>
    </row>
    <row r="61" spans="1:11" ht="15" customHeight="1" thickBot="1" x14ac:dyDescent="0.3">
      <c r="A61" s="145" t="s">
        <v>184</v>
      </c>
      <c r="B61" s="125">
        <v>6000000</v>
      </c>
      <c r="C61" s="4">
        <f>$B61*12</f>
        <v>72000000</v>
      </c>
      <c r="D61" s="46">
        <f>C61*(1+$B$10)</f>
        <v>75600000</v>
      </c>
      <c r="E61" s="46">
        <f>D61*(1+$B$10)</f>
        <v>79380000</v>
      </c>
      <c r="F61" s="46">
        <f>+B61*12</f>
        <v>72000000</v>
      </c>
      <c r="G61" s="128">
        <f>F61*(1+$B$10)</f>
        <v>75600000</v>
      </c>
      <c r="H61" s="46">
        <f>G61*(1+$B$10)</f>
        <v>79380000</v>
      </c>
      <c r="I61" s="4">
        <f>+B61*12</f>
        <v>72000000</v>
      </c>
      <c r="J61" s="46">
        <f>I61*(1+$B$10)</f>
        <v>75600000</v>
      </c>
      <c r="K61" s="15">
        <f>J61*(1+$B$10)</f>
        <v>79380000</v>
      </c>
    </row>
    <row r="62" spans="1:11" ht="15.75" thickBot="1" x14ac:dyDescent="0.3">
      <c r="A62" s="157" t="s">
        <v>30</v>
      </c>
      <c r="B62" s="174">
        <v>0.18</v>
      </c>
      <c r="C62" s="159">
        <f>C$26*$B62</f>
        <v>1198638000</v>
      </c>
      <c r="D62" s="160">
        <f t="shared" ref="D62:K62" si="32">D$26*$B62</f>
        <v>1438365600</v>
      </c>
      <c r="E62" s="160">
        <f t="shared" si="32"/>
        <v>1699069365</v>
      </c>
      <c r="F62" s="160">
        <f t="shared" si="32"/>
        <v>1883574000</v>
      </c>
      <c r="G62" s="159">
        <f t="shared" si="32"/>
        <v>2175527970</v>
      </c>
      <c r="H62" s="160">
        <f t="shared" si="32"/>
        <v>2491968402</v>
      </c>
      <c r="I62" s="159">
        <f t="shared" si="32"/>
        <v>2938375440</v>
      </c>
      <c r="J62" s="160">
        <f t="shared" si="32"/>
        <v>3322624536</v>
      </c>
      <c r="K62" s="161">
        <f t="shared" si="32"/>
        <v>3737952603</v>
      </c>
    </row>
    <row r="63" spans="1:11" ht="19.5" customHeight="1" thickBot="1" x14ac:dyDescent="0.3">
      <c r="A63" s="146" t="s">
        <v>57</v>
      </c>
      <c r="B63" s="175">
        <v>0.12</v>
      </c>
      <c r="C63" s="153">
        <f>C$26*$B63</f>
        <v>799092000</v>
      </c>
      <c r="D63" s="154">
        <f t="shared" ref="D63:K63" si="33">D$26*$B63</f>
        <v>958910400</v>
      </c>
      <c r="E63" s="154">
        <f t="shared" si="33"/>
        <v>1132712910</v>
      </c>
      <c r="F63" s="154">
        <f t="shared" si="33"/>
        <v>1255716000</v>
      </c>
      <c r="G63" s="155">
        <f t="shared" si="33"/>
        <v>1450351980</v>
      </c>
      <c r="H63" s="154">
        <f t="shared" si="33"/>
        <v>1661312268</v>
      </c>
      <c r="I63" s="153">
        <f t="shared" si="33"/>
        <v>1958916960</v>
      </c>
      <c r="J63" s="154">
        <f t="shared" si="33"/>
        <v>2215083024</v>
      </c>
      <c r="K63" s="156">
        <f t="shared" si="33"/>
        <v>2491968402</v>
      </c>
    </row>
    <row r="64" spans="1:11" ht="18" customHeight="1" thickBot="1" x14ac:dyDescent="0.3">
      <c r="A64" s="157" t="s">
        <v>164</v>
      </c>
      <c r="B64" s="176">
        <f>400000*$B$6+460000*$B$7</f>
        <v>45360000</v>
      </c>
      <c r="C64" s="159">
        <f>$B64*12</f>
        <v>544320000</v>
      </c>
      <c r="D64" s="160">
        <f>C64*(1+$B$10)</f>
        <v>571536000</v>
      </c>
      <c r="E64" s="160">
        <f>D64*(1+$B$10)</f>
        <v>600112800</v>
      </c>
      <c r="F64" s="160">
        <f>$B64*12</f>
        <v>544320000</v>
      </c>
      <c r="G64" s="159">
        <f>F64*(1+$B$10)</f>
        <v>571536000</v>
      </c>
      <c r="H64" s="160">
        <f>G64*(1+$B$10)</f>
        <v>600112800</v>
      </c>
      <c r="I64" s="159">
        <f>$B64*12</f>
        <v>544320000</v>
      </c>
      <c r="J64" s="160">
        <f>I64*(1+$B$10)</f>
        <v>571536000</v>
      </c>
      <c r="K64" s="161">
        <f>J64*(1+$B$10)</f>
        <v>600112800</v>
      </c>
    </row>
    <row r="65" spans="1:11" s="181" customFormat="1" ht="26.25" customHeight="1" thickBot="1" x14ac:dyDescent="0.3">
      <c r="A65" s="177" t="s">
        <v>31</v>
      </c>
      <c r="B65" s="178"/>
      <c r="C65" s="179">
        <f>C29+C31+C37+C46+C51+C52+C53+C54+C55+C56+C57+C58+C59+C62+C63+C64+C30</f>
        <v>6518988000</v>
      </c>
      <c r="D65" s="180">
        <f>D29+D31+D37+D46+D51+D52+D53+D54+D55+D56+D57+D58+D59+D62+D63+D64+D30</f>
        <v>7184551500</v>
      </c>
      <c r="E65" s="179">
        <f>E29+E31+E37+E46+E51+E52+E53+E54+E55+E56+E57+E58+E59+E62+E63+E64+E30</f>
        <v>7900373880</v>
      </c>
      <c r="F65" s="179">
        <f>F29+F31+F37+F46+F51+F52+F53+F54+F55+F56+F57+F58+F59+F62+F63+F64+F30</f>
        <v>7812756000</v>
      </c>
      <c r="G65" s="180">
        <f>G29+G31+G37+G46+G51+G52+G53+G54+G55+G56+G57+G58+G59+G62+G63+G64+G30</f>
        <v>8576969310</v>
      </c>
      <c r="H65" s="179">
        <f>H29+H31+H37+H46+H51+H52+H53+H54+H55+H56+H57+H58+H59+H62+H63+H64+H30</f>
        <v>9398072061</v>
      </c>
      <c r="I65" s="180">
        <f>I29+I31+I37+I46+I51+I52+I53+I54+I55+I56+I57+I58+I59+I62+I63+I64+I30</f>
        <v>9805158720</v>
      </c>
      <c r="J65" s="179">
        <f>J29+J31+J37+J46+J51+J52+J53+J54+J55+J56+J57+J58+J59+J62+J63+J64+J30</f>
        <v>10743707268</v>
      </c>
      <c r="K65" s="180">
        <f>K29+K31+K37+K46+K51+K52+K53+K54+K55+K56+K57+K58+K59+K62+K63+K64+K30</f>
        <v>11751597774</v>
      </c>
    </row>
    <row r="66" spans="1:11" ht="15" customHeight="1" thickBot="1" x14ac:dyDescent="0.3">
      <c r="A66" s="6"/>
      <c r="B66" s="40"/>
      <c r="C66" s="4"/>
      <c r="D66" s="46"/>
      <c r="E66" s="15"/>
      <c r="F66" s="4"/>
      <c r="G66" s="46"/>
      <c r="H66" s="15"/>
      <c r="I66" s="4"/>
      <c r="J66" s="46"/>
      <c r="K66" s="15"/>
    </row>
    <row r="67" spans="1:11" ht="24" customHeight="1" thickBot="1" x14ac:dyDescent="0.3">
      <c r="A67" s="52" t="s">
        <v>32</v>
      </c>
      <c r="B67" s="53"/>
      <c r="C67" s="190">
        <f>C26-C65</f>
        <v>140112000</v>
      </c>
      <c r="D67" s="191">
        <f>D26-D65</f>
        <v>806368500</v>
      </c>
      <c r="E67" s="192">
        <f>E26-E65</f>
        <v>1538900370</v>
      </c>
      <c r="F67" s="190">
        <f>F26-F65</f>
        <v>2651544000</v>
      </c>
      <c r="G67" s="191">
        <f>G26-G65</f>
        <v>3509297190</v>
      </c>
      <c r="H67" s="192">
        <f>H26-H65</f>
        <v>4446196839</v>
      </c>
      <c r="I67" s="190">
        <f>I26-I65</f>
        <v>6519149280</v>
      </c>
      <c r="J67" s="191">
        <f>J26-J65</f>
        <v>7715317932</v>
      </c>
      <c r="K67" s="192">
        <f>K26-K65</f>
        <v>9014805576</v>
      </c>
    </row>
    <row r="68" spans="1:11" ht="15.75" thickBot="1" x14ac:dyDescent="0.3">
      <c r="A68" s="14" t="s">
        <v>44</v>
      </c>
      <c r="B68" s="41"/>
      <c r="C68" s="13">
        <f>C67/C26</f>
        <v>2.1040681173131504E-2</v>
      </c>
      <c r="D68" s="50">
        <f>D67/D26</f>
        <v>0.10091059602649007</v>
      </c>
      <c r="E68" s="17">
        <f>E67/E26</f>
        <v>0.1630316409124356</v>
      </c>
      <c r="F68" s="13">
        <f>F67/F26</f>
        <v>0.25338952438290185</v>
      </c>
      <c r="G68" s="50">
        <f>G67/G26</f>
        <v>0.29035411307536535</v>
      </c>
      <c r="H68" s="17">
        <f>H67/H26</f>
        <v>0.32115793698575157</v>
      </c>
      <c r="I68" s="13">
        <f>I67/I26</f>
        <v>0.39935225921980888</v>
      </c>
      <c r="J68" s="50">
        <f>J67/J26</f>
        <v>0.41796995498982253</v>
      </c>
      <c r="K68" s="17">
        <f>K67/K26</f>
        <v>0.43410529132383435</v>
      </c>
    </row>
    <row r="69" spans="1:11" x14ac:dyDescent="0.25">
      <c r="A69" s="6"/>
      <c r="B69" s="42"/>
      <c r="C69" s="4"/>
      <c r="D69" s="46"/>
      <c r="E69" s="15"/>
      <c r="F69" s="4"/>
      <c r="G69" s="46"/>
      <c r="H69" s="15"/>
      <c r="I69" s="4"/>
      <c r="J69" s="46"/>
      <c r="K69" s="15"/>
    </row>
    <row r="70" spans="1:11" ht="15.75" thickBot="1" x14ac:dyDescent="0.3">
      <c r="A70" s="6" t="s">
        <v>45</v>
      </c>
      <c r="B70" s="42">
        <v>0.35</v>
      </c>
      <c r="C70" s="4">
        <f>(C67-C69)*$B70</f>
        <v>49039200</v>
      </c>
      <c r="D70" s="46">
        <f t="shared" ref="D70:K70" si="34">(D67-D69)*$B70</f>
        <v>282228975</v>
      </c>
      <c r="E70" s="15">
        <f t="shared" si="34"/>
        <v>538615129.5</v>
      </c>
      <c r="F70" s="4">
        <f t="shared" si="34"/>
        <v>928040400</v>
      </c>
      <c r="G70" s="46">
        <f t="shared" si="34"/>
        <v>1228254016.5</v>
      </c>
      <c r="H70" s="15">
        <f t="shared" si="34"/>
        <v>1556168893.6499999</v>
      </c>
      <c r="I70" s="4">
        <f t="shared" si="34"/>
        <v>2281702248</v>
      </c>
      <c r="J70" s="46">
        <f t="shared" si="34"/>
        <v>2700361276.1999998</v>
      </c>
      <c r="K70" s="15">
        <f t="shared" si="34"/>
        <v>3155181951.5999999</v>
      </c>
    </row>
    <row r="71" spans="1:11" ht="25.5" customHeight="1" thickBot="1" x14ac:dyDescent="0.3">
      <c r="A71" s="52" t="s">
        <v>46</v>
      </c>
      <c r="B71" s="53"/>
      <c r="C71" s="190">
        <f>C67-C69-C70</f>
        <v>91072800</v>
      </c>
      <c r="D71" s="193">
        <f t="shared" ref="D71:K71" si="35">D67-D69-D70</f>
        <v>524139525</v>
      </c>
      <c r="E71" s="192">
        <f t="shared" si="35"/>
        <v>1000285240.5</v>
      </c>
      <c r="F71" s="190">
        <f t="shared" si="35"/>
        <v>1723503600</v>
      </c>
      <c r="G71" s="191">
        <f t="shared" si="35"/>
        <v>2281043173.5</v>
      </c>
      <c r="H71" s="192">
        <f t="shared" si="35"/>
        <v>2890027945.3500004</v>
      </c>
      <c r="I71" s="190">
        <f t="shared" si="35"/>
        <v>4237447032</v>
      </c>
      <c r="J71" s="191">
        <f t="shared" si="35"/>
        <v>5014956655.8000002</v>
      </c>
      <c r="K71" s="192">
        <f t="shared" si="35"/>
        <v>5859623624.3999996</v>
      </c>
    </row>
    <row r="72" spans="1:11" ht="24" customHeight="1" thickBot="1" x14ac:dyDescent="0.3">
      <c r="A72" s="14" t="s">
        <v>47</v>
      </c>
      <c r="B72" s="41"/>
      <c r="C72" s="116">
        <f>C71/C26</f>
        <v>1.3676442762535478E-2</v>
      </c>
      <c r="D72" s="117">
        <f>D71/D26</f>
        <v>6.5591887417218539E-2</v>
      </c>
      <c r="E72" s="118">
        <f>E71/E26</f>
        <v>0.10597056659308315</v>
      </c>
      <c r="F72" s="122">
        <f>F71/F26</f>
        <v>0.16470319084888621</v>
      </c>
      <c r="G72" s="123">
        <f>G71/G26</f>
        <v>0.18873017349898746</v>
      </c>
      <c r="H72" s="124">
        <f>H71/H26</f>
        <v>0.20875265904073853</v>
      </c>
      <c r="I72" s="119">
        <f>I71/I26</f>
        <v>0.25957896849287576</v>
      </c>
      <c r="J72" s="120">
        <f>J71/J26</f>
        <v>0.27168047074338464</v>
      </c>
      <c r="K72" s="121">
        <f>K71/K26</f>
        <v>0.2821684393604923</v>
      </c>
    </row>
    <row r="74" spans="1:11" ht="15.75" thickBot="1" x14ac:dyDescent="0.3"/>
    <row r="75" spans="1:11" ht="18" customHeight="1" thickBot="1" x14ac:dyDescent="0.3">
      <c r="A75" s="100" t="s">
        <v>33</v>
      </c>
      <c r="B75" s="109"/>
      <c r="C75" s="109"/>
      <c r="D75" s="101"/>
    </row>
    <row r="76" spans="1:11" ht="15" customHeight="1" thickBot="1" x14ac:dyDescent="0.3">
      <c r="A76" s="65" t="s">
        <v>34</v>
      </c>
      <c r="B76" s="131" t="s">
        <v>35</v>
      </c>
      <c r="C76" s="131" t="s">
        <v>36</v>
      </c>
      <c r="D76" s="131" t="s">
        <v>182</v>
      </c>
    </row>
    <row r="77" spans="1:11" ht="22.5" customHeight="1" x14ac:dyDescent="0.25">
      <c r="A77" s="19" t="s">
        <v>63</v>
      </c>
      <c r="B77" s="133">
        <v>2</v>
      </c>
      <c r="C77" s="140">
        <v>3000000</v>
      </c>
      <c r="D77" s="134">
        <v>0</v>
      </c>
    </row>
    <row r="78" spans="1:11" ht="22.5" customHeight="1" x14ac:dyDescent="0.25">
      <c r="A78" s="19" t="s">
        <v>173</v>
      </c>
      <c r="B78" s="135">
        <v>2</v>
      </c>
      <c r="C78" s="75">
        <v>3000000</v>
      </c>
      <c r="D78" s="136"/>
    </row>
    <row r="79" spans="1:11" ht="22.5" customHeight="1" x14ac:dyDescent="0.25">
      <c r="A79" s="19" t="s">
        <v>174</v>
      </c>
      <c r="B79" s="135">
        <v>4</v>
      </c>
      <c r="C79" s="75">
        <v>2500000</v>
      </c>
      <c r="D79" s="136"/>
    </row>
    <row r="80" spans="1:11" ht="22.5" customHeight="1" x14ac:dyDescent="0.25">
      <c r="A80" s="19" t="s">
        <v>175</v>
      </c>
      <c r="B80" s="135">
        <v>2</v>
      </c>
      <c r="C80" s="75">
        <v>2000000</v>
      </c>
      <c r="D80" s="136"/>
    </row>
    <row r="81" spans="1:4" ht="22.5" customHeight="1" x14ac:dyDescent="0.25">
      <c r="A81" s="19" t="s">
        <v>181</v>
      </c>
      <c r="B81" s="135">
        <v>2</v>
      </c>
      <c r="C81" s="75">
        <v>2000000</v>
      </c>
      <c r="D81" s="136"/>
    </row>
    <row r="82" spans="1:4" ht="22.5" customHeight="1" x14ac:dyDescent="0.25">
      <c r="A82" s="19" t="s">
        <v>179</v>
      </c>
      <c r="B82" s="135">
        <v>2</v>
      </c>
      <c r="C82" s="75">
        <v>2000000</v>
      </c>
      <c r="D82" s="136"/>
    </row>
    <row r="83" spans="1:4" ht="15" customHeight="1" x14ac:dyDescent="0.25">
      <c r="A83" s="6" t="s">
        <v>37</v>
      </c>
      <c r="B83" s="137">
        <v>1</v>
      </c>
      <c r="C83" s="77">
        <v>4800000</v>
      </c>
      <c r="D83" s="24">
        <f>B83*C83*$B$11</f>
        <v>6960000</v>
      </c>
    </row>
    <row r="84" spans="1:4" ht="15" customHeight="1" x14ac:dyDescent="0.25">
      <c r="A84" s="6" t="s">
        <v>178</v>
      </c>
      <c r="B84" s="137">
        <v>1</v>
      </c>
      <c r="C84" s="77">
        <v>3500000</v>
      </c>
      <c r="D84" s="24">
        <f>B84*C84*$B$11</f>
        <v>5075000</v>
      </c>
    </row>
    <row r="85" spans="1:4" ht="15" customHeight="1" x14ac:dyDescent="0.25">
      <c r="A85" s="6" t="s">
        <v>38</v>
      </c>
      <c r="B85" s="137">
        <v>4</v>
      </c>
      <c r="C85" s="77">
        <v>2200000</v>
      </c>
      <c r="D85" s="24">
        <f t="shared" ref="D85:D96" si="36">B85*C85*$B$11</f>
        <v>12760000</v>
      </c>
    </row>
    <row r="86" spans="1:4" x14ac:dyDescent="0.25">
      <c r="A86" s="6" t="s">
        <v>39</v>
      </c>
      <c r="B86" s="137">
        <v>1</v>
      </c>
      <c r="C86" s="77">
        <v>2200000</v>
      </c>
      <c r="D86" s="24">
        <f t="shared" si="36"/>
        <v>3190000</v>
      </c>
    </row>
    <row r="87" spans="1:4" x14ac:dyDescent="0.25">
      <c r="A87" s="6" t="s">
        <v>40</v>
      </c>
      <c r="B87" s="137">
        <v>4</v>
      </c>
      <c r="C87" s="77">
        <v>2000000</v>
      </c>
      <c r="D87" s="24">
        <f t="shared" si="36"/>
        <v>11600000</v>
      </c>
    </row>
    <row r="88" spans="1:4" x14ac:dyDescent="0.25">
      <c r="A88" s="6" t="s">
        <v>41</v>
      </c>
      <c r="B88" s="137">
        <v>6</v>
      </c>
      <c r="C88" s="77">
        <v>2000000</v>
      </c>
      <c r="D88" s="24">
        <f t="shared" si="36"/>
        <v>17400000</v>
      </c>
    </row>
    <row r="89" spans="1:4" x14ac:dyDescent="0.25">
      <c r="A89" s="6" t="s">
        <v>42</v>
      </c>
      <c r="B89" s="137">
        <v>2</v>
      </c>
      <c r="C89" s="77">
        <v>2000000</v>
      </c>
      <c r="D89" s="24">
        <f t="shared" si="36"/>
        <v>5800000</v>
      </c>
    </row>
    <row r="90" spans="1:4" x14ac:dyDescent="0.25">
      <c r="A90" s="6" t="s">
        <v>176</v>
      </c>
      <c r="B90" s="137">
        <v>1</v>
      </c>
      <c r="C90" s="77">
        <v>2000000</v>
      </c>
      <c r="D90" s="24">
        <f t="shared" si="36"/>
        <v>2900000</v>
      </c>
    </row>
    <row r="91" spans="1:4" x14ac:dyDescent="0.25">
      <c r="A91" s="6" t="s">
        <v>177</v>
      </c>
      <c r="B91" s="137">
        <v>2</v>
      </c>
      <c r="C91" s="77">
        <v>2000000</v>
      </c>
      <c r="D91" s="24">
        <f t="shared" si="36"/>
        <v>5800000</v>
      </c>
    </row>
    <row r="92" spans="1:4" x14ac:dyDescent="0.25">
      <c r="A92" s="6" t="s">
        <v>180</v>
      </c>
      <c r="B92" s="137">
        <v>1</v>
      </c>
      <c r="C92" s="77">
        <v>2900000</v>
      </c>
      <c r="D92" s="24">
        <f t="shared" si="36"/>
        <v>4205000</v>
      </c>
    </row>
    <row r="93" spans="1:4" x14ac:dyDescent="0.25">
      <c r="A93" s="66" t="s">
        <v>111</v>
      </c>
      <c r="B93" s="137">
        <v>1</v>
      </c>
      <c r="C93" s="77">
        <v>2900000</v>
      </c>
      <c r="D93" s="24">
        <f t="shared" si="36"/>
        <v>4205000</v>
      </c>
    </row>
    <row r="94" spans="1:4" x14ac:dyDescent="0.25">
      <c r="A94" s="149" t="s">
        <v>186</v>
      </c>
      <c r="B94" s="137">
        <v>2</v>
      </c>
      <c r="C94" s="77">
        <v>2500000</v>
      </c>
      <c r="D94" s="24">
        <f t="shared" si="36"/>
        <v>7250000</v>
      </c>
    </row>
    <row r="95" spans="1:4" x14ac:dyDescent="0.25">
      <c r="A95" s="149" t="s">
        <v>187</v>
      </c>
      <c r="B95" s="137">
        <v>2</v>
      </c>
      <c r="C95" s="77">
        <v>2500000</v>
      </c>
      <c r="D95" s="24">
        <f t="shared" si="36"/>
        <v>7250000</v>
      </c>
    </row>
    <row r="96" spans="1:4" ht="15.75" thickBot="1" x14ac:dyDescent="0.3">
      <c r="A96" s="6" t="s">
        <v>58</v>
      </c>
      <c r="B96" s="138">
        <v>2</v>
      </c>
      <c r="C96" s="78">
        <v>2000000</v>
      </c>
      <c r="D96" s="27">
        <f t="shared" si="36"/>
        <v>5800000</v>
      </c>
    </row>
    <row r="97" spans="1:4" ht="15.75" thickBot="1" x14ac:dyDescent="0.3">
      <c r="A97" s="18" t="s">
        <v>43</v>
      </c>
      <c r="B97" s="194">
        <f>SUM(B77:B96)</f>
        <v>44</v>
      </c>
      <c r="C97" s="163"/>
      <c r="D97" s="74">
        <f>SUM(D77:D96)</f>
        <v>100195000</v>
      </c>
    </row>
    <row r="99" spans="1:4" ht="15.75" thickBot="1" x14ac:dyDescent="0.3">
      <c r="A99" s="108" t="s">
        <v>48</v>
      </c>
      <c r="B99" s="108"/>
      <c r="C99" s="108"/>
      <c r="D99" s="108"/>
    </row>
    <row r="100" spans="1:4" ht="15.75" thickBot="1" x14ac:dyDescent="0.3">
      <c r="A100" s="1"/>
      <c r="B100" s="2"/>
      <c r="C100" s="2"/>
      <c r="D100" s="59"/>
    </row>
    <row r="101" spans="1:4" ht="15.75" thickBot="1" x14ac:dyDescent="0.3">
      <c r="A101" s="65" t="s">
        <v>49</v>
      </c>
      <c r="B101" s="63" t="s">
        <v>14</v>
      </c>
      <c r="C101" s="65" t="s">
        <v>15</v>
      </c>
      <c r="D101" s="64" t="s">
        <v>16</v>
      </c>
    </row>
    <row r="102" spans="1:4" x14ac:dyDescent="0.25">
      <c r="A102" s="79" t="s">
        <v>50</v>
      </c>
      <c r="B102" s="4">
        <f>C71</f>
        <v>91072800</v>
      </c>
      <c r="C102" s="45">
        <f>D71</f>
        <v>524139525</v>
      </c>
      <c r="D102" s="24">
        <f>E71</f>
        <v>1000285240.5</v>
      </c>
    </row>
    <row r="103" spans="1:4" x14ac:dyDescent="0.25">
      <c r="A103" s="80" t="s">
        <v>51</v>
      </c>
      <c r="B103" s="4">
        <f>F71</f>
        <v>1723503600</v>
      </c>
      <c r="C103" s="46">
        <f>G71</f>
        <v>2281043173.5</v>
      </c>
      <c r="D103" s="24">
        <f>H71</f>
        <v>2890027945.3500004</v>
      </c>
    </row>
    <row r="104" spans="1:4" ht="15.75" thickBot="1" x14ac:dyDescent="0.3">
      <c r="A104" s="81" t="s">
        <v>52</v>
      </c>
      <c r="B104" s="26">
        <f>I71</f>
        <v>4237447032</v>
      </c>
      <c r="C104" s="51">
        <f>J71</f>
        <v>5014956655.8000002</v>
      </c>
      <c r="D104" s="27">
        <f>K71</f>
        <v>5859623624.3999996</v>
      </c>
    </row>
    <row r="106" spans="1:4" ht="15.75" thickBot="1" x14ac:dyDescent="0.3"/>
    <row r="107" spans="1:4" ht="15.75" thickBot="1" x14ac:dyDescent="0.3">
      <c r="A107" s="102" t="s">
        <v>53</v>
      </c>
      <c r="B107" s="103"/>
      <c r="C107" s="103"/>
      <c r="D107" s="104"/>
    </row>
    <row r="108" spans="1:4" ht="15.75" thickBot="1" x14ac:dyDescent="0.3">
      <c r="A108" s="62"/>
      <c r="B108" s="65" t="s">
        <v>54</v>
      </c>
      <c r="C108" s="65" t="s">
        <v>55</v>
      </c>
      <c r="D108" s="64" t="s">
        <v>56</v>
      </c>
    </row>
    <row r="109" spans="1:4" x14ac:dyDescent="0.25">
      <c r="A109" s="60" t="s">
        <v>50</v>
      </c>
      <c r="B109" s="4">
        <f>E26</f>
        <v>9439274250</v>
      </c>
      <c r="C109" s="4">
        <f>E65</f>
        <v>7900373880</v>
      </c>
      <c r="D109" s="24">
        <f>E71</f>
        <v>1000285240.5</v>
      </c>
    </row>
    <row r="110" spans="1:4" x14ac:dyDescent="0.25">
      <c r="A110" s="60" t="s">
        <v>51</v>
      </c>
      <c r="B110" s="4">
        <f>H26</f>
        <v>13844268900</v>
      </c>
      <c r="C110" s="4">
        <f>H65</f>
        <v>9398072061</v>
      </c>
      <c r="D110" s="24">
        <f>H71</f>
        <v>2890027945.3500004</v>
      </c>
    </row>
    <row r="111" spans="1:4" ht="15.75" thickBot="1" x14ac:dyDescent="0.3">
      <c r="A111" s="61" t="s">
        <v>52</v>
      </c>
      <c r="B111" s="26">
        <f>K26</f>
        <v>20766403350</v>
      </c>
      <c r="C111" s="26">
        <f>K65</f>
        <v>11751597774</v>
      </c>
      <c r="D111" s="27">
        <f>K71</f>
        <v>5859623624.3999996</v>
      </c>
    </row>
    <row r="114" spans="1:2" ht="15.75" thickBot="1" x14ac:dyDescent="0.3"/>
    <row r="115" spans="1:2" ht="15.75" thickBot="1" x14ac:dyDescent="0.3">
      <c r="A115" s="71" t="s">
        <v>127</v>
      </c>
      <c r="B115" s="72"/>
    </row>
    <row r="116" spans="1:2" ht="15.75" thickBot="1" x14ac:dyDescent="0.3">
      <c r="A116" s="70" t="s">
        <v>75</v>
      </c>
      <c r="B116" s="68" t="s">
        <v>128</v>
      </c>
    </row>
    <row r="117" spans="1:2" x14ac:dyDescent="0.25">
      <c r="A117" s="73" t="s">
        <v>129</v>
      </c>
      <c r="B117" s="76">
        <v>1500000</v>
      </c>
    </row>
    <row r="118" spans="1:2" x14ac:dyDescent="0.25">
      <c r="A118" s="66" t="s">
        <v>130</v>
      </c>
      <c r="B118" s="77">
        <v>2000000</v>
      </c>
    </row>
    <row r="119" spans="1:2" x14ac:dyDescent="0.25">
      <c r="A119" s="66" t="s">
        <v>131</v>
      </c>
      <c r="B119" s="77">
        <v>800000</v>
      </c>
    </row>
    <row r="120" spans="1:2" x14ac:dyDescent="0.25">
      <c r="A120" s="66" t="s">
        <v>132</v>
      </c>
      <c r="B120" s="77">
        <v>2000000</v>
      </c>
    </row>
    <row r="121" spans="1:2" x14ac:dyDescent="0.25">
      <c r="A121" s="66" t="s">
        <v>133</v>
      </c>
      <c r="B121" s="77">
        <v>800000</v>
      </c>
    </row>
    <row r="122" spans="1:2" x14ac:dyDescent="0.25">
      <c r="A122" s="66" t="s">
        <v>134</v>
      </c>
      <c r="B122" s="77">
        <v>3000000</v>
      </c>
    </row>
    <row r="123" spans="1:2" x14ac:dyDescent="0.25">
      <c r="A123" s="66" t="s">
        <v>135</v>
      </c>
      <c r="B123" s="77">
        <v>1500000</v>
      </c>
    </row>
    <row r="124" spans="1:2" x14ac:dyDescent="0.25">
      <c r="A124" s="66" t="s">
        <v>136</v>
      </c>
      <c r="B124" s="77">
        <v>500000</v>
      </c>
    </row>
    <row r="125" spans="1:2" x14ac:dyDescent="0.25">
      <c r="A125" s="66" t="s">
        <v>171</v>
      </c>
      <c r="B125" s="77">
        <v>600000</v>
      </c>
    </row>
    <row r="126" spans="1:2" x14ac:dyDescent="0.25">
      <c r="A126" s="66" t="s">
        <v>137</v>
      </c>
      <c r="B126" s="77">
        <v>2000000</v>
      </c>
    </row>
    <row r="127" spans="1:2" x14ac:dyDescent="0.25">
      <c r="A127" s="66" t="s">
        <v>138</v>
      </c>
      <c r="B127" s="77">
        <v>700000</v>
      </c>
    </row>
    <row r="128" spans="1:2" x14ac:dyDescent="0.25">
      <c r="A128" s="66" t="s">
        <v>172</v>
      </c>
      <c r="B128" s="77">
        <v>1000000</v>
      </c>
    </row>
    <row r="129" spans="1:2" x14ac:dyDescent="0.25">
      <c r="A129" s="148" t="s">
        <v>185</v>
      </c>
      <c r="B129" s="77">
        <v>15000000</v>
      </c>
    </row>
    <row r="130" spans="1:2" ht="15.75" thickBot="1" x14ac:dyDescent="0.3">
      <c r="A130" s="66" t="s">
        <v>124</v>
      </c>
      <c r="B130" s="78">
        <v>600000</v>
      </c>
    </row>
    <row r="131" spans="1:2" ht="15.75" thickBot="1" x14ac:dyDescent="0.3">
      <c r="A131" s="67" t="s">
        <v>139</v>
      </c>
      <c r="B131" s="69">
        <f>SUM(B117:B130)</f>
        <v>32000000</v>
      </c>
    </row>
  </sheetData>
  <mergeCells count="21">
    <mergeCell ref="A107:D107"/>
    <mergeCell ref="C14:C15"/>
    <mergeCell ref="D14:D15"/>
    <mergeCell ref="E14:E15"/>
    <mergeCell ref="B13:B15"/>
    <mergeCell ref="A99:D99"/>
    <mergeCell ref="A75:D75"/>
    <mergeCell ref="A13:A15"/>
    <mergeCell ref="A1:K1"/>
    <mergeCell ref="A2:K2"/>
    <mergeCell ref="A3:K3"/>
    <mergeCell ref="F14:F15"/>
    <mergeCell ref="G14:G15"/>
    <mergeCell ref="H14:H15"/>
    <mergeCell ref="I14:I15"/>
    <mergeCell ref="J14:J15"/>
    <mergeCell ref="K14:K15"/>
    <mergeCell ref="C13:E13"/>
    <mergeCell ref="F13:H13"/>
    <mergeCell ref="I13:K13"/>
    <mergeCell ref="A5:B5"/>
  </mergeCells>
  <pageMargins left="0.7" right="0.7" top="0.75" bottom="0.75" header="0.3" footer="0.3"/>
  <pageSetup orientation="portrait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54CF-112A-4F34-A24F-2C900FDF1F8B}">
  <sheetPr>
    <tabColor theme="4" tint="-0.249977111117893"/>
  </sheetPr>
  <dimension ref="A1:F38"/>
  <sheetViews>
    <sheetView topLeftCell="A21" workbookViewId="0">
      <selection activeCell="H22" sqref="H22"/>
    </sheetView>
  </sheetViews>
  <sheetFormatPr baseColWidth="10" defaultRowHeight="15" x14ac:dyDescent="0.25"/>
  <cols>
    <col min="1" max="1" width="40" customWidth="1"/>
    <col min="2" max="6" width="20" customWidth="1"/>
  </cols>
  <sheetData>
    <row r="1" spans="1:6" ht="24" x14ac:dyDescent="0.4">
      <c r="A1" s="114" t="s">
        <v>4</v>
      </c>
      <c r="B1" s="114"/>
      <c r="C1" s="114"/>
      <c r="D1" s="114"/>
      <c r="E1" s="114"/>
      <c r="F1" s="114"/>
    </row>
    <row r="2" spans="1:6" ht="15.75" x14ac:dyDescent="0.25">
      <c r="A2" s="113" t="s">
        <v>77</v>
      </c>
      <c r="B2" s="113"/>
      <c r="C2" s="113"/>
      <c r="D2" s="113"/>
      <c r="E2" s="113"/>
      <c r="F2" s="113"/>
    </row>
    <row r="3" spans="1:6" x14ac:dyDescent="0.25">
      <c r="A3" s="111" t="s">
        <v>78</v>
      </c>
      <c r="B3" s="111"/>
      <c r="C3" s="111"/>
      <c r="D3" s="111"/>
      <c r="E3" s="111"/>
      <c r="F3" s="111"/>
    </row>
    <row r="4" spans="1:6" ht="15.75" thickBot="1" x14ac:dyDescent="0.3"/>
    <row r="5" spans="1:6" ht="15.75" thickBot="1" x14ac:dyDescent="0.3">
      <c r="A5" s="228" t="s">
        <v>79</v>
      </c>
      <c r="B5" s="229"/>
    </row>
    <row r="6" spans="1:6" x14ac:dyDescent="0.25">
      <c r="A6" s="230" t="s">
        <v>80</v>
      </c>
      <c r="B6" s="233">
        <v>0.09</v>
      </c>
    </row>
    <row r="7" spans="1:6" x14ac:dyDescent="0.25">
      <c r="A7" s="231" t="s">
        <v>81</v>
      </c>
      <c r="B7" s="234">
        <v>108</v>
      </c>
    </row>
    <row r="8" spans="1:6" ht="15.75" thickBot="1" x14ac:dyDescent="0.3">
      <c r="A8" s="232" t="s">
        <v>82</v>
      </c>
      <c r="B8" s="235">
        <v>0.08</v>
      </c>
    </row>
    <row r="9" spans="1:6" ht="18.75" customHeight="1" thickBot="1" x14ac:dyDescent="0.3">
      <c r="A9" s="236" t="s">
        <v>83</v>
      </c>
      <c r="B9" s="237"/>
    </row>
    <row r="10" spans="1:6" ht="15.75" thickBot="1" x14ac:dyDescent="0.3"/>
    <row r="11" spans="1:6" ht="16.5" thickBot="1" x14ac:dyDescent="0.3">
      <c r="A11" s="207" t="s">
        <v>84</v>
      </c>
      <c r="B11" s="208"/>
      <c r="C11" s="208"/>
      <c r="D11" s="208"/>
      <c r="E11" s="208"/>
      <c r="F11" s="209"/>
    </row>
    <row r="12" spans="1:6" ht="15.75" thickBot="1" x14ac:dyDescent="0.3">
      <c r="A12" s="67" t="s">
        <v>75</v>
      </c>
      <c r="B12" s="65" t="s">
        <v>14</v>
      </c>
      <c r="C12" s="63" t="s">
        <v>15</v>
      </c>
      <c r="D12" s="65" t="s">
        <v>16</v>
      </c>
      <c r="E12" s="63" t="s">
        <v>85</v>
      </c>
      <c r="F12" s="65" t="s">
        <v>86</v>
      </c>
    </row>
    <row r="13" spans="1:6" x14ac:dyDescent="0.25">
      <c r="A13" s="73" t="s">
        <v>112</v>
      </c>
      <c r="B13" s="210">
        <f>+'HERITAGE '!C57</f>
        <v>199773000</v>
      </c>
      <c r="C13" s="197">
        <f>+'HERITAGE '!D57</f>
        <v>239727600</v>
      </c>
      <c r="D13" s="210">
        <f>+'HERITAGE '!E57</f>
        <v>283178227.5</v>
      </c>
      <c r="E13" s="29">
        <f>D13*(1+$B$8)</f>
        <v>305832485.70000005</v>
      </c>
      <c r="F13" s="45">
        <f>E13*(1+$B$8)</f>
        <v>330299084.55600005</v>
      </c>
    </row>
    <row r="14" spans="1:6" x14ac:dyDescent="0.25">
      <c r="A14" s="66" t="s">
        <v>87</v>
      </c>
      <c r="B14" s="46">
        <v>0</v>
      </c>
      <c r="C14" s="128">
        <f>B16</f>
        <v>208762785</v>
      </c>
      <c r="D14" s="46">
        <f>C16</f>
        <v>478066777.64999998</v>
      </c>
      <c r="E14" s="128">
        <f>D16</f>
        <v>817014035.37599993</v>
      </c>
      <c r="F14" s="46">
        <f>E16</f>
        <v>1210140246.1163399</v>
      </c>
    </row>
    <row r="15" spans="1:6" ht="15.75" thickBot="1" x14ac:dyDescent="0.3">
      <c r="A15" s="66" t="s">
        <v>88</v>
      </c>
      <c r="B15" s="77">
        <f>(B14+B13*0.5)*$B$6</f>
        <v>8989785</v>
      </c>
      <c r="C15" s="132">
        <f>(C14+C13*0.5)*$B$6</f>
        <v>29576392.649999999</v>
      </c>
      <c r="D15" s="77">
        <f>(D14+D13*0.5)*$B$6</f>
        <v>55769030.225999996</v>
      </c>
      <c r="E15" s="132">
        <f>(E14+E13*0.5)*$B$6</f>
        <v>87293725.040339991</v>
      </c>
      <c r="F15" s="77">
        <f>(F14+F13*0.5)*$B$6</f>
        <v>123776080.9554906</v>
      </c>
    </row>
    <row r="16" spans="1:6" ht="15.75" thickBot="1" x14ac:dyDescent="0.3">
      <c r="A16" s="67" t="s">
        <v>89</v>
      </c>
      <c r="B16" s="69">
        <f>B14+B13+B15</f>
        <v>208762785</v>
      </c>
      <c r="C16" s="164">
        <f>C14+C13+C15</f>
        <v>478066777.64999998</v>
      </c>
      <c r="D16" s="69">
        <f>D14+D13+D15</f>
        <v>817014035.37599993</v>
      </c>
      <c r="E16" s="164">
        <f>E14+E13+E15</f>
        <v>1210140246.1163399</v>
      </c>
      <c r="F16" s="69">
        <f>F14+F13+F15</f>
        <v>1664215411.6278305</v>
      </c>
    </row>
    <row r="17" spans="1:6" x14ac:dyDescent="0.25">
      <c r="A17" s="66" t="s">
        <v>90</v>
      </c>
      <c r="B17" s="46">
        <f t="shared" ref="B17:F18" si="0">B15/$B$7</f>
        <v>83238.75</v>
      </c>
      <c r="C17" s="128">
        <f t="shared" si="0"/>
        <v>273855.48749999999</v>
      </c>
      <c r="D17" s="46">
        <f t="shared" si="0"/>
        <v>516379.90949999995</v>
      </c>
      <c r="E17" s="128">
        <f t="shared" si="0"/>
        <v>808275.2318549999</v>
      </c>
      <c r="F17" s="46">
        <f t="shared" si="0"/>
        <v>1146074.82366195</v>
      </c>
    </row>
    <row r="18" spans="1:6" ht="15.75" thickBot="1" x14ac:dyDescent="0.3">
      <c r="A18" s="198" t="s">
        <v>91</v>
      </c>
      <c r="B18" s="211">
        <f t="shared" si="0"/>
        <v>1932988.75</v>
      </c>
      <c r="C18" s="199">
        <f t="shared" si="0"/>
        <v>4426544.2374999998</v>
      </c>
      <c r="D18" s="211">
        <f t="shared" si="0"/>
        <v>7564944.7719999989</v>
      </c>
      <c r="E18" s="199">
        <f t="shared" si="0"/>
        <v>11205002.278855</v>
      </c>
      <c r="F18" s="211">
        <f t="shared" si="0"/>
        <v>15409401.95951695</v>
      </c>
    </row>
    <row r="20" spans="1:6" ht="15.75" thickBot="1" x14ac:dyDescent="0.3"/>
    <row r="21" spans="1:6" ht="16.5" thickBot="1" x14ac:dyDescent="0.3">
      <c r="A21" s="204" t="s">
        <v>92</v>
      </c>
      <c r="B21" s="205"/>
      <c r="C21" s="205"/>
      <c r="D21" s="205"/>
      <c r="E21" s="205"/>
      <c r="F21" s="206"/>
    </row>
    <row r="22" spans="1:6" ht="15.75" thickBot="1" x14ac:dyDescent="0.3">
      <c r="A22" s="70" t="s">
        <v>75</v>
      </c>
      <c r="B22" s="65" t="s">
        <v>14</v>
      </c>
      <c r="C22" s="65" t="s">
        <v>15</v>
      </c>
      <c r="D22" s="65" t="s">
        <v>16</v>
      </c>
      <c r="E22" s="65" t="s">
        <v>85</v>
      </c>
      <c r="F22" s="65" t="s">
        <v>86</v>
      </c>
    </row>
    <row r="23" spans="1:6" x14ac:dyDescent="0.25">
      <c r="A23" s="73" t="s">
        <v>112</v>
      </c>
      <c r="B23" s="210">
        <f>+'HERITAGE '!F57</f>
        <v>313929000</v>
      </c>
      <c r="C23" s="197">
        <f>+'HERITAGE '!G57</f>
        <v>362587995</v>
      </c>
      <c r="D23" s="210">
        <f>+'HERITAGE '!H57</f>
        <v>415328067</v>
      </c>
      <c r="E23" s="29">
        <f>D23*(1+$B$8)</f>
        <v>448554312.36000001</v>
      </c>
      <c r="F23" s="45">
        <f>E23*(1+$B$8)</f>
        <v>484438657.34880006</v>
      </c>
    </row>
    <row r="24" spans="1:6" x14ac:dyDescent="0.25">
      <c r="A24" s="66" t="s">
        <v>87</v>
      </c>
      <c r="B24" s="46">
        <v>0</v>
      </c>
      <c r="C24" s="128">
        <f>B26</f>
        <v>328055805</v>
      </c>
      <c r="D24" s="46">
        <f>C26</f>
        <v>736485282.22500002</v>
      </c>
      <c r="E24" s="128">
        <f>D26</f>
        <v>1236786787.64025</v>
      </c>
      <c r="F24" s="46">
        <f>E26</f>
        <v>1816836854.9440722</v>
      </c>
    </row>
    <row r="25" spans="1:6" ht="15.75" thickBot="1" x14ac:dyDescent="0.3">
      <c r="A25" s="200" t="s">
        <v>88</v>
      </c>
      <c r="B25" s="78">
        <f>(B24+B23*0.5)*$B$6</f>
        <v>14126805</v>
      </c>
      <c r="C25" s="139">
        <f>(C24+C23*0.5)*$B$6</f>
        <v>45841482.225000001</v>
      </c>
      <c r="D25" s="78">
        <f>(D24+D23*0.5)*$B$6</f>
        <v>84973438.415250003</v>
      </c>
      <c r="E25" s="139">
        <f>(E24+E23*0.5)*$B$6</f>
        <v>131495754.9438225</v>
      </c>
      <c r="F25" s="78">
        <f>(F24+F23*0.5)*$B$6</f>
        <v>185315056.52566251</v>
      </c>
    </row>
    <row r="26" spans="1:6" ht="15.75" thickBot="1" x14ac:dyDescent="0.3">
      <c r="A26" s="67" t="s">
        <v>89</v>
      </c>
      <c r="B26" s="69">
        <f>B24+B23+B25</f>
        <v>328055805</v>
      </c>
      <c r="C26" s="164">
        <f>C24+C23+C25</f>
        <v>736485282.22500002</v>
      </c>
      <c r="D26" s="69">
        <f>D24+D23+D25</f>
        <v>1236786787.64025</v>
      </c>
      <c r="E26" s="164">
        <f>E24+E23+E25</f>
        <v>1816836854.9440722</v>
      </c>
      <c r="F26" s="69">
        <f>F24+F23+F25</f>
        <v>2486590568.8185349</v>
      </c>
    </row>
    <row r="27" spans="1:6" x14ac:dyDescent="0.25">
      <c r="A27" s="73" t="s">
        <v>90</v>
      </c>
      <c r="B27" s="45">
        <f t="shared" ref="B27:F28" si="1">B25/$B$7</f>
        <v>130803.75</v>
      </c>
      <c r="C27" s="29">
        <f t="shared" si="1"/>
        <v>424458.16875000001</v>
      </c>
      <c r="D27" s="45">
        <f t="shared" si="1"/>
        <v>786791.09643749997</v>
      </c>
      <c r="E27" s="29">
        <f t="shared" si="1"/>
        <v>1217553.286516875</v>
      </c>
      <c r="F27" s="45">
        <f t="shared" si="1"/>
        <v>1715880.1530153935</v>
      </c>
    </row>
    <row r="28" spans="1:6" ht="15.75" thickBot="1" x14ac:dyDescent="0.3">
      <c r="A28" s="198" t="s">
        <v>91</v>
      </c>
      <c r="B28" s="211">
        <f t="shared" si="1"/>
        <v>3037553.75</v>
      </c>
      <c r="C28" s="199">
        <f t="shared" si="1"/>
        <v>6819308.1687500002</v>
      </c>
      <c r="D28" s="211">
        <f t="shared" si="1"/>
        <v>11451729.5151875</v>
      </c>
      <c r="E28" s="199">
        <f t="shared" si="1"/>
        <v>16822563.471704371</v>
      </c>
      <c r="F28" s="211">
        <f t="shared" si="1"/>
        <v>23023986.748319767</v>
      </c>
    </row>
    <row r="30" spans="1:6" ht="15.75" thickBot="1" x14ac:dyDescent="0.3"/>
    <row r="31" spans="1:6" ht="16.5" thickBot="1" x14ac:dyDescent="0.3">
      <c r="A31" s="201" t="s">
        <v>93</v>
      </c>
      <c r="B31" s="202"/>
      <c r="C31" s="202"/>
      <c r="D31" s="202"/>
      <c r="E31" s="202"/>
      <c r="F31" s="203"/>
    </row>
    <row r="32" spans="1:6" ht="15.75" thickBot="1" x14ac:dyDescent="0.3">
      <c r="A32" s="67" t="s">
        <v>75</v>
      </c>
      <c r="B32" s="65" t="s">
        <v>14</v>
      </c>
      <c r="C32" s="63" t="s">
        <v>15</v>
      </c>
      <c r="D32" s="65" t="s">
        <v>16</v>
      </c>
      <c r="E32" s="63" t="s">
        <v>85</v>
      </c>
      <c r="F32" s="65" t="s">
        <v>86</v>
      </c>
    </row>
    <row r="33" spans="1:6" x14ac:dyDescent="0.25">
      <c r="A33" s="73" t="s">
        <v>112</v>
      </c>
      <c r="B33" s="210">
        <f>+'HERITAGE '!I57</f>
        <v>489729240</v>
      </c>
      <c r="C33" s="197">
        <f>+'HERITAGE '!J57</f>
        <v>553770756</v>
      </c>
      <c r="D33" s="210">
        <f>+'HERITAGE '!K57</f>
        <v>622992100.5</v>
      </c>
      <c r="E33" s="29">
        <f>D33*(1+$B$8)</f>
        <v>672831468.54000008</v>
      </c>
      <c r="F33" s="45">
        <f>E33*(1+$B$8)</f>
        <v>726657986.02320015</v>
      </c>
    </row>
    <row r="34" spans="1:6" x14ac:dyDescent="0.25">
      <c r="A34" s="66" t="s">
        <v>87</v>
      </c>
      <c r="B34" s="46">
        <v>0</v>
      </c>
      <c r="C34" s="128">
        <f>B36</f>
        <v>511767055.80000001</v>
      </c>
      <c r="D34" s="46">
        <f>C36</f>
        <v>1136516530.842</v>
      </c>
      <c r="E34" s="128">
        <f>D36</f>
        <v>1889829763.64028</v>
      </c>
      <c r="F34" s="46">
        <f>E36</f>
        <v>2763023326.9922056</v>
      </c>
    </row>
    <row r="35" spans="1:6" ht="15.75" thickBot="1" x14ac:dyDescent="0.3">
      <c r="A35" s="66" t="s">
        <v>88</v>
      </c>
      <c r="B35" s="77">
        <f>(B34+B33*0.5)*$B$6</f>
        <v>22037815.800000001</v>
      </c>
      <c r="C35" s="132">
        <f>(C34+C33*0.5)*$B$6</f>
        <v>70978719.041999996</v>
      </c>
      <c r="D35" s="77">
        <f>(D34+D33*0.5)*$B$6</f>
        <v>130321132.29828</v>
      </c>
      <c r="E35" s="132">
        <f>(E34+E33*0.5)*$B$6</f>
        <v>200362094.8119252</v>
      </c>
      <c r="F35" s="77">
        <f>(F34+F33*0.5)*$B$6</f>
        <v>281371708.8003425</v>
      </c>
    </row>
    <row r="36" spans="1:6" ht="15.75" thickBot="1" x14ac:dyDescent="0.3">
      <c r="A36" s="67" t="s">
        <v>89</v>
      </c>
      <c r="B36" s="69">
        <f>B34+B33+B35</f>
        <v>511767055.80000001</v>
      </c>
      <c r="C36" s="164">
        <f>C34+C33+C35</f>
        <v>1136516530.842</v>
      </c>
      <c r="D36" s="69">
        <f>D34+D33+D35</f>
        <v>1889829763.64028</v>
      </c>
      <c r="E36" s="164">
        <f>E34+E33+E35</f>
        <v>2763023326.9922056</v>
      </c>
      <c r="F36" s="69">
        <f>F34+F33+F35</f>
        <v>3771053021.8157482</v>
      </c>
    </row>
    <row r="37" spans="1:6" x14ac:dyDescent="0.25">
      <c r="A37" s="66" t="s">
        <v>90</v>
      </c>
      <c r="B37" s="46">
        <f t="shared" ref="B37:F38" si="2">B35/$B$7</f>
        <v>204053.85</v>
      </c>
      <c r="C37" s="128">
        <f t="shared" si="2"/>
        <v>657210.3615</v>
      </c>
      <c r="D37" s="46">
        <f t="shared" si="2"/>
        <v>1206677.1509100001</v>
      </c>
      <c r="E37" s="128">
        <f t="shared" si="2"/>
        <v>1855204.5815919</v>
      </c>
      <c r="F37" s="46">
        <f t="shared" si="2"/>
        <v>2605293.6000031712</v>
      </c>
    </row>
    <row r="38" spans="1:6" ht="15.75" thickBot="1" x14ac:dyDescent="0.3">
      <c r="A38" s="198" t="s">
        <v>91</v>
      </c>
      <c r="B38" s="211">
        <f t="shared" si="2"/>
        <v>4738583.8500000006</v>
      </c>
      <c r="C38" s="199">
        <f t="shared" si="2"/>
        <v>10523301.2115</v>
      </c>
      <c r="D38" s="211">
        <f t="shared" si="2"/>
        <v>17498423.737410001</v>
      </c>
      <c r="E38" s="199">
        <f t="shared" si="2"/>
        <v>25583549.324001905</v>
      </c>
      <c r="F38" s="211">
        <f t="shared" si="2"/>
        <v>34917157.609405078</v>
      </c>
    </row>
  </sheetData>
  <mergeCells count="7">
    <mergeCell ref="A31:F31"/>
    <mergeCell ref="A21:F21"/>
    <mergeCell ref="A11:F11"/>
    <mergeCell ref="A5:B5"/>
    <mergeCell ref="A3:F3"/>
    <mergeCell ref="A2:F2"/>
    <mergeCell ref="A1:F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D36D-184D-4642-AD0D-E0E001FCE82E}">
  <sheetPr>
    <tabColor rgb="FFFFFF99"/>
  </sheetPr>
  <dimension ref="A1:F40"/>
  <sheetViews>
    <sheetView workbookViewId="0">
      <selection activeCell="A6" sqref="A6"/>
    </sheetView>
  </sheetViews>
  <sheetFormatPr baseColWidth="10" defaultRowHeight="15" x14ac:dyDescent="0.25"/>
  <cols>
    <col min="1" max="1" width="40" customWidth="1"/>
    <col min="2" max="4" width="19" customWidth="1"/>
  </cols>
  <sheetData>
    <row r="1" spans="1:6" ht="20.25" x14ac:dyDescent="0.3">
      <c r="A1" s="110" t="s">
        <v>165</v>
      </c>
      <c r="B1" s="110"/>
      <c r="C1" s="110"/>
      <c r="D1" s="110"/>
      <c r="E1" s="110"/>
      <c r="F1" s="110"/>
    </row>
    <row r="2" spans="1:6" x14ac:dyDescent="0.25">
      <c r="A2" s="111" t="s">
        <v>166</v>
      </c>
      <c r="B2" s="111"/>
      <c r="C2" s="111"/>
      <c r="D2" s="111"/>
      <c r="E2" s="111"/>
      <c r="F2" s="111"/>
    </row>
    <row r="4" spans="1:6" x14ac:dyDescent="0.25">
      <c r="A4" s="238" t="s">
        <v>94</v>
      </c>
      <c r="B4" s="238"/>
      <c r="C4" s="238"/>
      <c r="D4" s="238"/>
    </row>
    <row r="5" spans="1:6" x14ac:dyDescent="0.25">
      <c r="A5" s="55" t="s">
        <v>95</v>
      </c>
      <c r="B5" s="5" t="s">
        <v>54</v>
      </c>
      <c r="C5" s="5" t="s">
        <v>55</v>
      </c>
      <c r="D5" s="5" t="s">
        <v>56</v>
      </c>
    </row>
    <row r="6" spans="1:6" x14ac:dyDescent="0.25">
      <c r="A6" t="s">
        <v>50</v>
      </c>
      <c r="B6" s="4">
        <f>+'HERITAGE '!E26</f>
        <v>9439274250</v>
      </c>
      <c r="C6" s="4">
        <f>+'HERITAGE '!E65</f>
        <v>7900373880</v>
      </c>
      <c r="D6" s="4">
        <f>+'HERITAGE '!E71</f>
        <v>1000285240.5</v>
      </c>
    </row>
    <row r="7" spans="1:6" x14ac:dyDescent="0.25">
      <c r="A7" t="s">
        <v>51</v>
      </c>
      <c r="B7" s="4">
        <f>+'HERITAGE '!H26</f>
        <v>13844268900</v>
      </c>
      <c r="C7" s="4">
        <f>+'HERITAGE '!H65</f>
        <v>9398072061</v>
      </c>
      <c r="D7" s="4">
        <f>+'HERITAGE '!H71</f>
        <v>2890027945.3500004</v>
      </c>
    </row>
    <row r="8" spans="1:6" x14ac:dyDescent="0.25">
      <c r="A8" t="s">
        <v>52</v>
      </c>
      <c r="B8" s="4">
        <f>+'HERITAGE '!K26</f>
        <v>20766403350</v>
      </c>
      <c r="C8" s="4">
        <f>+'HERITAGE '!K65</f>
        <v>11751597774</v>
      </c>
      <c r="D8" s="4">
        <f>+'HERITAGE '!K71</f>
        <v>5859623624.3999996</v>
      </c>
    </row>
    <row r="11" spans="1:6" x14ac:dyDescent="0.25">
      <c r="A11" s="238" t="s">
        <v>96</v>
      </c>
      <c r="B11" s="238"/>
      <c r="C11" s="238"/>
      <c r="D11" s="238"/>
    </row>
    <row r="12" spans="1:6" x14ac:dyDescent="0.25">
      <c r="A12" s="55" t="s">
        <v>97</v>
      </c>
      <c r="B12" s="5" t="s">
        <v>50</v>
      </c>
      <c r="C12" s="5" t="s">
        <v>51</v>
      </c>
      <c r="D12" s="5" t="s">
        <v>52</v>
      </c>
    </row>
    <row r="13" spans="1:6" x14ac:dyDescent="0.25">
      <c r="A13" t="s">
        <v>14</v>
      </c>
      <c r="B13" s="4">
        <f>+'HERITAGE '!C71</f>
        <v>91072800</v>
      </c>
      <c r="C13" s="4">
        <f>+'HERITAGE '!F71</f>
        <v>1723503600</v>
      </c>
      <c r="D13" s="4">
        <f>+'HERITAGE '!I71</f>
        <v>4237447032</v>
      </c>
    </row>
    <row r="14" spans="1:6" x14ac:dyDescent="0.25">
      <c r="A14" t="s">
        <v>15</v>
      </c>
      <c r="B14" s="4">
        <f>+'HERITAGE '!D71</f>
        <v>524139525</v>
      </c>
      <c r="C14" s="4">
        <f>+'HERITAGE '!G71</f>
        <v>2281043173.5</v>
      </c>
      <c r="D14" s="4">
        <f>+'HERITAGE '!J71</f>
        <v>5014956655.8000002</v>
      </c>
    </row>
    <row r="15" spans="1:6" x14ac:dyDescent="0.25">
      <c r="A15" t="s">
        <v>16</v>
      </c>
      <c r="B15" s="4">
        <f>+'HERITAGE '!E71</f>
        <v>1000285240.5</v>
      </c>
      <c r="C15" s="4">
        <f>+'HERITAGE '!H71</f>
        <v>2890027945.3500004</v>
      </c>
      <c r="D15" s="4">
        <f>+'HERITAGE '!K71</f>
        <v>5859623624.3999996</v>
      </c>
    </row>
    <row r="18" spans="1:4" x14ac:dyDescent="0.25">
      <c r="A18" s="238" t="s">
        <v>167</v>
      </c>
      <c r="B18" s="238"/>
      <c r="C18" s="238"/>
      <c r="D18" s="238"/>
    </row>
    <row r="19" spans="1:4" x14ac:dyDescent="0.25">
      <c r="A19" s="55" t="s">
        <v>98</v>
      </c>
      <c r="B19" s="5" t="s">
        <v>99</v>
      </c>
    </row>
    <row r="20" spans="1:4" x14ac:dyDescent="0.25">
      <c r="A20" t="s">
        <v>100</v>
      </c>
      <c r="B20" s="4">
        <f>+'HERITAGE '!H29</f>
        <v>1325579850</v>
      </c>
    </row>
    <row r="21" spans="1:4" x14ac:dyDescent="0.25">
      <c r="A21" t="s">
        <v>101</v>
      </c>
      <c r="B21" s="4">
        <f>+'HERITAGE '!H31</f>
        <v>542430000</v>
      </c>
    </row>
    <row r="22" spans="1:4" x14ac:dyDescent="0.25">
      <c r="A22" t="s">
        <v>102</v>
      </c>
      <c r="B22" s="4">
        <f>+'HERITAGE '!H37</f>
        <v>79380000</v>
      </c>
    </row>
    <row r="23" spans="1:4" x14ac:dyDescent="0.25">
      <c r="A23" t="s">
        <v>103</v>
      </c>
      <c r="B23" s="4">
        <f>+'HERITAGE '!H46</f>
        <v>436590000</v>
      </c>
    </row>
    <row r="24" spans="1:4" x14ac:dyDescent="0.25">
      <c r="A24" t="s">
        <v>168</v>
      </c>
      <c r="B24" s="4">
        <f>+'HERITAGE '!H51</f>
        <v>138442689</v>
      </c>
    </row>
    <row r="25" spans="1:4" x14ac:dyDescent="0.25">
      <c r="A25" t="s">
        <v>104</v>
      </c>
      <c r="B25" s="4">
        <f>+'HERITAGE '!H52</f>
        <v>0</v>
      </c>
    </row>
    <row r="26" spans="1:4" x14ac:dyDescent="0.25">
      <c r="A26" t="s">
        <v>105</v>
      </c>
      <c r="B26" s="4">
        <f>+'HERITAGE '!H53</f>
        <v>714420000</v>
      </c>
    </row>
    <row r="27" spans="1:4" x14ac:dyDescent="0.25">
      <c r="A27" t="s">
        <v>108</v>
      </c>
      <c r="B27" s="4">
        <f>+'HERITAGE '!H54+'HERITAGE '!H59</f>
        <v>304290000</v>
      </c>
    </row>
    <row r="28" spans="1:4" x14ac:dyDescent="0.25">
      <c r="A28" t="s">
        <v>106</v>
      </c>
      <c r="B28" s="4">
        <f>+'HERITAGE '!H55+'HERITAGE '!H56</f>
        <v>132300000</v>
      </c>
    </row>
    <row r="29" spans="1:4" x14ac:dyDescent="0.25">
      <c r="A29" t="s">
        <v>107</v>
      </c>
      <c r="B29" s="4">
        <f>+'HERITAGE '!H57</f>
        <v>415328067</v>
      </c>
    </row>
    <row r="30" spans="1:4" x14ac:dyDescent="0.25">
      <c r="A30" t="s">
        <v>141</v>
      </c>
      <c r="B30" s="4">
        <f>+'HERITAGE '!H58</f>
        <v>423360000</v>
      </c>
    </row>
    <row r="31" spans="1:4" x14ac:dyDescent="0.25">
      <c r="A31" t="s">
        <v>109</v>
      </c>
      <c r="B31" s="4">
        <f>+'HERITAGE '!H62</f>
        <v>2491968402</v>
      </c>
    </row>
    <row r="32" spans="1:4" x14ac:dyDescent="0.25">
      <c r="A32" t="s">
        <v>110</v>
      </c>
      <c r="B32" s="4">
        <f>+'HERITAGE '!H63+'HERITAGE '!H64</f>
        <v>2261425068</v>
      </c>
    </row>
    <row r="33" spans="1:4" x14ac:dyDescent="0.25">
      <c r="B33" s="4"/>
    </row>
    <row r="36" spans="1:4" x14ac:dyDescent="0.25">
      <c r="A36" s="238" t="s">
        <v>169</v>
      </c>
      <c r="B36" s="238"/>
      <c r="C36" s="238"/>
      <c r="D36" s="238"/>
    </row>
    <row r="37" spans="1:4" x14ac:dyDescent="0.25">
      <c r="A37" s="55" t="s">
        <v>95</v>
      </c>
      <c r="B37" s="5" t="s">
        <v>125</v>
      </c>
      <c r="C37" s="5" t="s">
        <v>126</v>
      </c>
    </row>
    <row r="38" spans="1:4" x14ac:dyDescent="0.25">
      <c r="A38" t="s">
        <v>50</v>
      </c>
      <c r="B38" s="4">
        <f>+'HERITAGE '!E71*('HERITAGE '!E24/'HERITAGE '!E26)/'HERITAGE '!$B$6</f>
        <v>8832540.7549668886</v>
      </c>
      <c r="C38" s="4">
        <f>+'HERITAGE '!E71*('HERITAGE '!E25/'HERITAGE '!E26)/'HERITAGE '!$B$7</f>
        <v>10120619.615066223</v>
      </c>
    </row>
    <row r="39" spans="1:4" x14ac:dyDescent="0.25">
      <c r="A39" t="s">
        <v>51</v>
      </c>
      <c r="B39" s="4">
        <f>+'HERITAGE '!H71*('HERITAGE '!H24/'HERITAGE '!H26)/'HERITAGE '!$B$6</f>
        <v>25519010.554966893</v>
      </c>
      <c r="C39" s="4">
        <f>+'HERITAGE '!H71*('HERITAGE '!H25/'HERITAGE '!H26)/'HERITAGE '!$B$7</f>
        <v>29240532.927566227</v>
      </c>
    </row>
    <row r="40" spans="1:4" x14ac:dyDescent="0.25">
      <c r="A40" t="s">
        <v>52</v>
      </c>
      <c r="B40" s="4">
        <f>+'HERITAGE '!K71*('HERITAGE '!K24/'HERITAGE '!K26)/'HERITAGE '!$B$6</f>
        <v>51740605.954966888</v>
      </c>
      <c r="C40" s="4">
        <f>+'HERITAGE '!K71*('HERITAGE '!K25/'HERITAGE '!K26)/'HERITAGE '!$B$7</f>
        <v>59286110.990066215</v>
      </c>
    </row>
  </sheetData>
  <mergeCells count="6">
    <mergeCell ref="A36:D36"/>
    <mergeCell ref="A1:F1"/>
    <mergeCell ref="A2:F2"/>
    <mergeCell ref="A4:D4"/>
    <mergeCell ref="A11:D11"/>
    <mergeCell ref="A18:D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76BA-C96F-4145-9695-C03E5EF97AAC}">
  <sheetPr>
    <tabColor theme="4" tint="-0.249977111117893"/>
  </sheetPr>
  <dimension ref="A1:E19"/>
  <sheetViews>
    <sheetView topLeftCell="A6" workbookViewId="0">
      <selection activeCell="B26" sqref="B26"/>
    </sheetView>
  </sheetViews>
  <sheetFormatPr baseColWidth="10" defaultRowHeight="15" x14ac:dyDescent="0.25"/>
  <cols>
    <col min="1" max="1" width="43.85546875" customWidth="1"/>
    <col min="2" max="6" width="21.85546875" customWidth="1"/>
  </cols>
  <sheetData>
    <row r="1" spans="1:5" ht="24" x14ac:dyDescent="0.4">
      <c r="A1" s="114" t="s">
        <v>4</v>
      </c>
      <c r="B1" s="114"/>
      <c r="C1" s="114"/>
      <c r="D1" s="114"/>
      <c r="E1" s="114"/>
    </row>
    <row r="2" spans="1:5" ht="15.75" x14ac:dyDescent="0.25">
      <c r="A2" s="113" t="s">
        <v>156</v>
      </c>
      <c r="B2" s="113"/>
      <c r="C2" s="113"/>
      <c r="D2" s="113"/>
      <c r="E2" s="113"/>
    </row>
    <row r="3" spans="1:5" x14ac:dyDescent="0.25">
      <c r="A3" s="112" t="s">
        <v>157</v>
      </c>
      <c r="B3" s="112"/>
      <c r="C3" s="112"/>
      <c r="D3" s="112"/>
      <c r="E3" s="112"/>
    </row>
    <row r="4" spans="1:5" ht="15.75" thickBot="1" x14ac:dyDescent="0.3"/>
    <row r="5" spans="1:5" ht="21" customHeight="1" thickBot="1" x14ac:dyDescent="0.3">
      <c r="A5" s="241" t="s">
        <v>158</v>
      </c>
      <c r="B5" s="242"/>
      <c r="C5" s="242"/>
      <c r="D5" s="72"/>
    </row>
    <row r="6" spans="1:5" ht="15.75" thickBot="1" x14ac:dyDescent="0.3">
      <c r="A6" s="239" t="s">
        <v>75</v>
      </c>
      <c r="B6" s="240" t="s">
        <v>142</v>
      </c>
      <c r="C6" s="240" t="s">
        <v>143</v>
      </c>
      <c r="D6" s="65" t="s">
        <v>76</v>
      </c>
    </row>
    <row r="7" spans="1:5" x14ac:dyDescent="0.25">
      <c r="A7" s="73" t="s">
        <v>144</v>
      </c>
      <c r="B7" s="257">
        <f>+'HERITAGE '!H24</f>
        <v>8801654400</v>
      </c>
      <c r="C7" s="257">
        <f>+'HERITAGE '!H25</f>
        <v>5042614500</v>
      </c>
      <c r="D7" s="252">
        <f>+'HERITAGE '!H26</f>
        <v>13844268900</v>
      </c>
    </row>
    <row r="8" spans="1:5" x14ac:dyDescent="0.25">
      <c r="A8" s="243" t="s">
        <v>145</v>
      </c>
      <c r="B8" s="258">
        <f>B7/$D$7</f>
        <v>0.63576158940397354</v>
      </c>
      <c r="C8" s="258">
        <f>C7/$D$7</f>
        <v>0.36423841059602646</v>
      </c>
      <c r="D8" s="253">
        <f>B8+C8</f>
        <v>1</v>
      </c>
    </row>
    <row r="9" spans="1:5" ht="15.75" thickBot="1" x14ac:dyDescent="0.3">
      <c r="A9" s="66" t="s">
        <v>146</v>
      </c>
      <c r="B9" s="259">
        <f>-(B7-'HERITAGE '!H71*B8)</f>
        <v>-6964285640.0423832</v>
      </c>
      <c r="C9" s="259">
        <f>-(C7-'HERITAGE '!H71*C8)</f>
        <v>-3989955314.6076159</v>
      </c>
      <c r="D9" s="254">
        <f>B9+C9</f>
        <v>-10954240954.65</v>
      </c>
    </row>
    <row r="10" spans="1:5" ht="15.75" thickBot="1" x14ac:dyDescent="0.3">
      <c r="A10" s="67" t="s">
        <v>147</v>
      </c>
      <c r="B10" s="260">
        <f>B7+B9</f>
        <v>1837368759.9576168</v>
      </c>
      <c r="C10" s="260">
        <f>C7+C9</f>
        <v>1052659185.3923841</v>
      </c>
      <c r="D10" s="255">
        <f>+'HERITAGE '!H71</f>
        <v>2890027945.3500004</v>
      </c>
    </row>
    <row r="11" spans="1:5" x14ac:dyDescent="0.25">
      <c r="A11" s="243" t="s">
        <v>148</v>
      </c>
      <c r="B11" s="258">
        <f>B10/B7</f>
        <v>0.20875265904073861</v>
      </c>
      <c r="C11" s="258">
        <f>C10/C7</f>
        <v>0.2087526590407385</v>
      </c>
      <c r="D11" s="253">
        <f>D10/D7</f>
        <v>0.20875265904073853</v>
      </c>
    </row>
    <row r="12" spans="1:5" ht="15.75" thickBot="1" x14ac:dyDescent="0.3">
      <c r="A12" s="200" t="s">
        <v>149</v>
      </c>
      <c r="B12" s="261">
        <f>+'HERITAGE '!$B$6</f>
        <v>72</v>
      </c>
      <c r="C12" s="261">
        <f>+'HERITAGE '!$B$7</f>
        <v>36</v>
      </c>
      <c r="D12" s="256">
        <f>B12+C12</f>
        <v>108</v>
      </c>
    </row>
    <row r="13" spans="1:5" ht="15.75" thickBot="1" x14ac:dyDescent="0.3">
      <c r="A13" s="244" t="s">
        <v>159</v>
      </c>
      <c r="B13" s="262">
        <f>B10/B12</f>
        <v>25519010.5549669</v>
      </c>
      <c r="C13" s="262">
        <f>C10/C12</f>
        <v>29240532.927566223</v>
      </c>
      <c r="D13" s="251">
        <f>D10/D12</f>
        <v>26759518.012500003</v>
      </c>
    </row>
    <row r="14" spans="1:5" ht="15.75" thickBot="1" x14ac:dyDescent="0.3"/>
    <row r="15" spans="1:5" ht="15.75" thickBot="1" x14ac:dyDescent="0.3">
      <c r="A15" s="241" t="s">
        <v>160</v>
      </c>
      <c r="B15" s="242"/>
      <c r="C15" s="242"/>
      <c r="D15" s="242"/>
      <c r="E15" s="72"/>
    </row>
    <row r="16" spans="1:5" ht="15.75" thickBot="1" x14ac:dyDescent="0.3">
      <c r="A16" s="162" t="s">
        <v>95</v>
      </c>
      <c r="B16" s="65" t="s">
        <v>161</v>
      </c>
      <c r="C16" s="63" t="s">
        <v>162</v>
      </c>
      <c r="D16" s="65" t="s">
        <v>125</v>
      </c>
      <c r="E16" s="64" t="s">
        <v>126</v>
      </c>
    </row>
    <row r="17" spans="1:5" x14ac:dyDescent="0.25">
      <c r="A17" s="73" t="s">
        <v>50</v>
      </c>
      <c r="B17" s="45">
        <f>+'HERITAGE '!E71*('HERITAGE '!E24/'HERITAGE '!E26)</f>
        <v>635942934.35761595</v>
      </c>
      <c r="C17" s="29">
        <f>+'HERITAGE '!E71*('HERITAGE '!E25/'HERITAGE '!E26)</f>
        <v>364342306.14238405</v>
      </c>
      <c r="D17" s="247">
        <f>B17/'HERITAGE '!$B$6</f>
        <v>8832540.7549668886</v>
      </c>
      <c r="E17" s="248">
        <f>C17/'HERITAGE '!$B$7</f>
        <v>10120619.615066223</v>
      </c>
    </row>
    <row r="18" spans="1:5" x14ac:dyDescent="0.25">
      <c r="A18" s="66" t="s">
        <v>51</v>
      </c>
      <c r="B18" s="46">
        <f>+'HERITAGE '!H71*('HERITAGE '!H24/'HERITAGE '!H26)</f>
        <v>1837368759.9576163</v>
      </c>
      <c r="C18" s="128">
        <f>+'HERITAGE '!H71*('HERITAGE '!H25/'HERITAGE '!H26)</f>
        <v>1052659185.3923842</v>
      </c>
      <c r="D18" s="245">
        <f>B18/'HERITAGE '!$B$6</f>
        <v>25519010.554966893</v>
      </c>
      <c r="E18" s="249">
        <f>C18/'HERITAGE '!$B$7</f>
        <v>29240532.927566227</v>
      </c>
    </row>
    <row r="19" spans="1:5" ht="15.75" thickBot="1" x14ac:dyDescent="0.3">
      <c r="A19" s="200" t="s">
        <v>52</v>
      </c>
      <c r="B19" s="51">
        <f>+'HERITAGE '!K71*('HERITAGE '!K24/'HERITAGE '!K26)</f>
        <v>3725323628.757616</v>
      </c>
      <c r="C19" s="26">
        <f>+'HERITAGE '!K71*('HERITAGE '!K25/'HERITAGE '!K26)</f>
        <v>2134299995.6423838</v>
      </c>
      <c r="D19" s="246">
        <f>B19/'HERITAGE '!$B$6</f>
        <v>51740605.954966888</v>
      </c>
      <c r="E19" s="250">
        <f>C19/'HERITAGE '!$B$7</f>
        <v>59286110.990066215</v>
      </c>
    </row>
  </sheetData>
  <mergeCells count="3">
    <mergeCell ref="A3:E3"/>
    <mergeCell ref="A2:E2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DE56-2E6D-4691-AD25-1B9DB7E38E1B}">
  <dimension ref="A1:A20"/>
  <sheetViews>
    <sheetView topLeftCell="A2" workbookViewId="0">
      <selection activeCell="I8" sqref="I8"/>
    </sheetView>
  </sheetViews>
  <sheetFormatPr baseColWidth="10" defaultRowHeight="15" x14ac:dyDescent="0.25"/>
  <sheetData>
    <row r="1" spans="1:1" x14ac:dyDescent="0.25">
      <c r="A1" t="s">
        <v>65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69</v>
      </c>
    </row>
    <row r="9" spans="1:1" x14ac:dyDescent="0.25">
      <c r="A9" t="s">
        <v>113</v>
      </c>
    </row>
    <row r="10" spans="1:1" x14ac:dyDescent="0.25">
      <c r="A10" t="s">
        <v>114</v>
      </c>
    </row>
    <row r="11" spans="1:1" x14ac:dyDescent="0.25">
      <c r="A11" t="s">
        <v>115</v>
      </c>
    </row>
    <row r="12" spans="1:1" x14ac:dyDescent="0.25">
      <c r="A12" t="s">
        <v>116</v>
      </c>
    </row>
    <row r="13" spans="1:1" x14ac:dyDescent="0.25">
      <c r="A13" t="s">
        <v>117</v>
      </c>
    </row>
    <row r="14" spans="1:1" x14ac:dyDescent="0.25">
      <c r="A14" t="s">
        <v>118</v>
      </c>
    </row>
    <row r="15" spans="1:1" x14ac:dyDescent="0.25">
      <c r="A15" t="s">
        <v>119</v>
      </c>
    </row>
    <row r="16" spans="1:1" x14ac:dyDescent="0.25">
      <c r="A16" t="s">
        <v>120</v>
      </c>
    </row>
    <row r="17" spans="1:1" x14ac:dyDescent="0.25">
      <c r="A17" t="s">
        <v>121</v>
      </c>
    </row>
    <row r="18" spans="1:1" x14ac:dyDescent="0.25">
      <c r="A18" t="s">
        <v>122</v>
      </c>
    </row>
    <row r="19" spans="1:1" x14ac:dyDescent="0.25">
      <c r="A19" t="s">
        <v>123</v>
      </c>
    </row>
    <row r="20" spans="1:1" x14ac:dyDescent="0.25">
      <c r="A20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31" sqref="D3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HERITAGE </vt:lpstr>
      <vt:lpstr>FARA Inv. Virtual</vt:lpstr>
      <vt:lpstr>Dashboard BI</vt:lpstr>
      <vt:lpstr>Reparto por Pool</vt:lpstr>
      <vt:lpstr>Hoja1</vt:lpstr>
      <vt:lpstr>Hoja2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GehSuites</dc:creator>
  <cp:lastModifiedBy>GehSuites</cp:lastModifiedBy>
  <dcterms:created xsi:type="dcterms:W3CDTF">2026-01-29T19:06:39Z</dcterms:created>
  <dcterms:modified xsi:type="dcterms:W3CDTF">2026-07-02T16:17:10Z</dcterms:modified>
</cp:coreProperties>
</file>